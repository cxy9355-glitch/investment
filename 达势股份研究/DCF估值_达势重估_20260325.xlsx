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Codex\个人\investment\达势股份研究\"/>
    </mc:Choice>
  </mc:AlternateContent>
  <bookViews>
    <workbookView xWindow="0" yWindow="0" windowWidth="28800" windowHeight="10470" activeTab="2"/>
  </bookViews>
  <sheets>
    <sheet name="chagee" sheetId="1" r:id="rId1"/>
    <sheet name="dml" sheetId="2" r:id="rId2"/>
    <sheet name="dml_revised_20260325" sheetId="3" r:id="rId3"/>
    <sheet name="dml_8yr_3500" sheetId="4" r:id="rId4"/>
  </sheets>
  <calcPr calcId="162913" forceFullCalc="1"/>
</workbook>
</file>

<file path=xl/calcChain.xml><?xml version="1.0" encoding="utf-8"?>
<calcChain xmlns="http://schemas.openxmlformats.org/spreadsheetml/2006/main">
  <c r="K28" i="4" l="1"/>
  <c r="J28" i="4"/>
  <c r="I28" i="4"/>
  <c r="H28" i="4"/>
  <c r="G28" i="4"/>
  <c r="F28" i="4"/>
  <c r="E28" i="4"/>
  <c r="D28" i="4"/>
  <c r="K27" i="4"/>
  <c r="J27" i="4"/>
  <c r="I27" i="4"/>
  <c r="H27" i="4"/>
  <c r="G27" i="4"/>
  <c r="F27" i="4"/>
  <c r="E27" i="4"/>
  <c r="D27" i="4"/>
  <c r="C21" i="4"/>
  <c r="C22" i="4" s="1"/>
  <c r="C29" i="4" s="1"/>
  <c r="B21" i="4"/>
  <c r="B22" i="4" s="1"/>
  <c r="B29" i="4" s="1"/>
  <c r="K18" i="4"/>
  <c r="K20" i="4" s="1"/>
  <c r="K22" i="4" s="1"/>
  <c r="J18" i="4"/>
  <c r="J20" i="4" s="1"/>
  <c r="J22" i="4" s="1"/>
  <c r="I18" i="4"/>
  <c r="I20" i="4" s="1"/>
  <c r="I22" i="4" s="1"/>
  <c r="H18" i="4"/>
  <c r="H20" i="4" s="1"/>
  <c r="H22" i="4" s="1"/>
  <c r="G18" i="4"/>
  <c r="G20" i="4" s="1"/>
  <c r="G22" i="4" s="1"/>
  <c r="F18" i="4"/>
  <c r="F20" i="4" s="1"/>
  <c r="F22" i="4" s="1"/>
  <c r="F29" i="4" s="1"/>
  <c r="F32" i="4" s="1"/>
  <c r="E18" i="4"/>
  <c r="E20" i="4" s="1"/>
  <c r="E22" i="4" s="1"/>
  <c r="E29" i="4" s="1"/>
  <c r="E32" i="4" s="1"/>
  <c r="D18" i="4"/>
  <c r="D20" i="4" s="1"/>
  <c r="D22" i="4" s="1"/>
  <c r="C18" i="4"/>
  <c r="C19" i="4" s="1"/>
  <c r="B18" i="4"/>
  <c r="B19" i="4" s="1"/>
  <c r="H28" i="3"/>
  <c r="G28" i="3"/>
  <c r="F28" i="3"/>
  <c r="E28" i="3"/>
  <c r="D28" i="3"/>
  <c r="H27" i="3"/>
  <c r="G27" i="3"/>
  <c r="F27" i="3"/>
  <c r="E27" i="3"/>
  <c r="D27" i="3"/>
  <c r="C21" i="3"/>
  <c r="C22" i="3" s="1"/>
  <c r="C29" i="3" s="1"/>
  <c r="B21" i="3"/>
  <c r="B22" i="3" s="1"/>
  <c r="B29" i="3" s="1"/>
  <c r="H18" i="3"/>
  <c r="H20" i="3" s="1"/>
  <c r="H22" i="3" s="1"/>
  <c r="G18" i="3"/>
  <c r="G20" i="3" s="1"/>
  <c r="G22" i="3" s="1"/>
  <c r="F18" i="3"/>
  <c r="F20" i="3" s="1"/>
  <c r="F22" i="3" s="1"/>
  <c r="E18" i="3"/>
  <c r="E20" i="3" s="1"/>
  <c r="E22" i="3" s="1"/>
  <c r="D18" i="3"/>
  <c r="D20" i="3" s="1"/>
  <c r="D22" i="3" s="1"/>
  <c r="C18" i="3"/>
  <c r="C19" i="3" s="1"/>
  <c r="B18" i="3"/>
  <c r="B19" i="3" s="1"/>
  <c r="E35" i="2"/>
  <c r="B30" i="2"/>
  <c r="B28" i="2"/>
  <c r="B29" i="2" s="1"/>
  <c r="C27" i="2"/>
  <c r="D26" i="2"/>
  <c r="C25" i="2"/>
  <c r="B25" i="2"/>
  <c r="H24" i="2"/>
  <c r="G24" i="2"/>
  <c r="F24" i="2"/>
  <c r="E24" i="2"/>
  <c r="D24" i="2"/>
  <c r="C22" i="2"/>
  <c r="C28" i="2" s="1"/>
  <c r="E21" i="2"/>
  <c r="F21" i="2" s="1"/>
  <c r="G21" i="2" s="1"/>
  <c r="H21" i="2" s="1"/>
  <c r="D20" i="2"/>
  <c r="E20" i="2" s="1"/>
  <c r="B3" i="2"/>
  <c r="B2" i="2"/>
  <c r="B34" i="1"/>
  <c r="B35" i="1" s="1"/>
  <c r="B24" i="1"/>
  <c r="B26" i="1" s="1"/>
  <c r="C23" i="1"/>
  <c r="D23" i="1" s="1"/>
  <c r="E23" i="1" s="1"/>
  <c r="F23" i="1" s="1"/>
  <c r="C22" i="1"/>
  <c r="D22" i="1" s="1"/>
  <c r="E22" i="1" s="1"/>
  <c r="F22" i="1" s="1"/>
  <c r="C21" i="1"/>
  <c r="D21" i="1" s="1"/>
  <c r="E21" i="1" s="1"/>
  <c r="F21" i="1" s="1"/>
  <c r="C20" i="1"/>
  <c r="B3" i="1"/>
  <c r="B2" i="1"/>
  <c r="B5" i="1" s="1"/>
  <c r="F29" i="3" l="1"/>
  <c r="F32" i="3" s="1"/>
  <c r="G29" i="3"/>
  <c r="G32" i="3" s="1"/>
  <c r="D29" i="4"/>
  <c r="D32" i="4" s="1"/>
  <c r="H29" i="4"/>
  <c r="H32" i="4" s="1"/>
  <c r="I29" i="4"/>
  <c r="I32" i="4" s="1"/>
  <c r="E29" i="3"/>
  <c r="E32" i="3" s="1"/>
  <c r="J29" i="4"/>
  <c r="J32" i="4" s="1"/>
  <c r="H29" i="3"/>
  <c r="C34" i="1"/>
  <c r="C35" i="1" s="1"/>
  <c r="B5" i="2"/>
  <c r="K29" i="4"/>
  <c r="K33" i="4" s="1"/>
  <c r="K34" i="4" s="1"/>
  <c r="K35" i="4" s="1"/>
  <c r="D29" i="3"/>
  <c r="D32" i="3" s="1"/>
  <c r="C29" i="2"/>
  <c r="D27" i="2"/>
  <c r="G29" i="4"/>
  <c r="G32" i="4" s="1"/>
  <c r="E26" i="2"/>
  <c r="B25" i="1"/>
  <c r="C30" i="2"/>
  <c r="B27" i="1"/>
  <c r="F20" i="2"/>
  <c r="D22" i="2"/>
  <c r="D28" i="2" s="1"/>
  <c r="D29" i="2" s="1"/>
  <c r="B10" i="2" s="1"/>
  <c r="D20" i="1"/>
  <c r="C24" i="1"/>
  <c r="C28" i="1" s="1"/>
  <c r="B31" i="1"/>
  <c r="B28" i="1"/>
  <c r="B32" i="1" l="1"/>
  <c r="B33" i="1" s="1"/>
  <c r="B10" i="1" s="1"/>
  <c r="B11" i="1" s="1"/>
  <c r="M23" i="3"/>
  <c r="B11" i="2"/>
  <c r="L24" i="3"/>
  <c r="M22" i="3"/>
  <c r="K32" i="4"/>
  <c r="M24" i="3"/>
  <c r="L22" i="3"/>
  <c r="H32" i="3"/>
  <c r="N24" i="3"/>
  <c r="H33" i="3"/>
  <c r="H34" i="3" s="1"/>
  <c r="H35" i="3" s="1"/>
  <c r="L6" i="3" s="1"/>
  <c r="L7" i="3" s="1"/>
  <c r="L8" i="3" s="1"/>
  <c r="L9" i="3" s="1"/>
  <c r="L23" i="3"/>
  <c r="N22" i="3"/>
  <c r="N23" i="3"/>
  <c r="D34" i="1"/>
  <c r="D35" i="1" s="1"/>
  <c r="D24" i="1"/>
  <c r="D28" i="1" s="1"/>
  <c r="E20" i="1"/>
  <c r="G20" i="2"/>
  <c r="E22" i="2"/>
  <c r="D30" i="2"/>
  <c r="C31" i="1"/>
  <c r="C27" i="1"/>
  <c r="C26" i="1"/>
  <c r="C25" i="1"/>
  <c r="F26" i="2"/>
  <c r="E27" i="2"/>
  <c r="N6" i="4"/>
  <c r="N7" i="4" s="1"/>
  <c r="N8" i="4" s="1"/>
  <c r="N9" i="4" s="1"/>
  <c r="C32" i="1" l="1"/>
  <c r="C33" i="1" s="1"/>
  <c r="C10" i="1" s="1"/>
  <c r="C11" i="1" s="1"/>
  <c r="F22" i="2"/>
  <c r="E30" i="2"/>
  <c r="E28" i="2"/>
  <c r="E29" i="2" s="1"/>
  <c r="C10" i="2" s="1"/>
  <c r="C11" i="2" s="1"/>
  <c r="G26" i="2"/>
  <c r="F27" i="2"/>
  <c r="H20" i="2"/>
  <c r="F20" i="1"/>
  <c r="E34" i="1"/>
  <c r="E35" i="1" s="1"/>
  <c r="E24" i="1"/>
  <c r="D31" i="1"/>
  <c r="D27" i="1"/>
  <c r="D25" i="1"/>
  <c r="D26" i="1"/>
  <c r="D32" i="1" l="1"/>
  <c r="D33" i="1" s="1"/>
  <c r="D10" i="1" s="1"/>
  <c r="D11" i="1" s="1"/>
  <c r="H26" i="2"/>
  <c r="H27" i="2" s="1"/>
  <c r="G27" i="2"/>
  <c r="E27" i="1"/>
  <c r="E25" i="1"/>
  <c r="E31" i="1"/>
  <c r="E26" i="1"/>
  <c r="E28" i="1"/>
  <c r="F34" i="1"/>
  <c r="F35" i="1" s="1"/>
  <c r="F24" i="1"/>
  <c r="F30" i="2"/>
  <c r="G22" i="2"/>
  <c r="F28" i="2"/>
  <c r="F29" i="2" s="1"/>
  <c r="D10" i="2" s="1"/>
  <c r="D11" i="2" s="1"/>
  <c r="F27" i="1" l="1"/>
  <c r="F25" i="1"/>
  <c r="F26" i="1"/>
  <c r="F31" i="1"/>
  <c r="F28" i="1"/>
  <c r="H22" i="2"/>
  <c r="G30" i="2"/>
  <c r="G28" i="2"/>
  <c r="G29" i="2" s="1"/>
  <c r="E10" i="2" s="1"/>
  <c r="E11" i="2" s="1"/>
  <c r="E32" i="1"/>
  <c r="E33" i="1" s="1"/>
  <c r="E10" i="1" s="1"/>
  <c r="E11" i="1" s="1"/>
  <c r="H28" i="2" l="1"/>
  <c r="H29" i="2" s="1"/>
  <c r="F10" i="2" s="1"/>
  <c r="H30" i="2"/>
  <c r="F32" i="1"/>
  <c r="F33" i="1" s="1"/>
  <c r="F10" i="1" s="1"/>
  <c r="G10" i="1" l="1"/>
  <c r="G11" i="1" s="1"/>
  <c r="F11" i="1"/>
  <c r="F11" i="2"/>
  <c r="G10" i="2"/>
  <c r="G11" i="2" s="1"/>
  <c r="L3" i="2" s="1"/>
  <c r="L5" i="2" s="1"/>
  <c r="L7" i="2" s="1"/>
  <c r="L8" i="2" s="1"/>
  <c r="L10" i="2" s="1"/>
  <c r="L3" i="1" l="1"/>
  <c r="L5" i="1" s="1"/>
  <c r="L7" i="1" s="1"/>
  <c r="L8" i="1" s="1"/>
  <c r="L10" i="1" s="1"/>
</calcChain>
</file>

<file path=xl/comments1.xml><?xml version="1.0" encoding="utf-8"?>
<comments xmlns="http://schemas.openxmlformats.org/spreadsheetml/2006/main">
  <authors>
    <author>Codex</author>
  </authors>
  <commentList>
    <comment ref="L6" authorId="0" shapeId="0">
      <text>
        <r>
          <rPr>
            <sz val="11"/>
            <color indexed="8"/>
            <rFont val="等线"/>
            <family val="2"/>
            <scheme val="minor"/>
          </rPr>
          <t>已修正为显性期折现 FCFF + 终值现值，即 SUM(D32:H32)+H35。</t>
        </r>
      </text>
    </comment>
    <comment ref="D23" authorId="0" shapeId="0">
      <text>
        <r>
          <rPr>
            <sz val="11"/>
            <color indexed="8"/>
            <rFont val="等线"/>
            <family val="2"/>
            <scheme val="minor"/>
          </rPr>
          <t>中性版假设：新店装修设备/店 1.42 百万元，较乐观版 1.33 上调，向管理层 2025 store development capex 指引靠拢，但仍低于旧版 1.55。</t>
        </r>
      </text>
    </comment>
    <comment ref="D24" authorId="0" shapeId="0">
      <text>
        <r>
          <rPr>
            <sz val="11"/>
            <color indexed="8"/>
            <rFont val="等线"/>
            <family val="2"/>
            <scheme val="minor"/>
          </rPr>
          <t>店特许费/店 0.045 百万元，参考 FY2024 年报附注中的 Store franchise fees 实际新增。</t>
        </r>
      </text>
    </comment>
    <comment ref="D25" authorId="0" shapeId="0">
      <text>
        <r>
          <rPr>
            <sz val="11"/>
            <color indexed="8"/>
            <rFont val="等线"/>
            <family val="2"/>
            <scheme val="minor"/>
          </rPr>
          <t>软件/HQ CAPEX 中性版为 0.34 亿起步，代表随着规模扩大仍有 IT 与总部投入，但不采用过低假设。</t>
        </r>
      </text>
    </comment>
    <comment ref="D26" authorId="0" shapeId="0">
      <text>
        <r>
          <rPr>
            <sz val="11"/>
            <color indexed="8"/>
            <rFont val="等线"/>
            <family val="2"/>
            <scheme val="minor"/>
          </rPr>
          <t>维护改造中性版为 0.90 亿起步，介于旧版线性外推和乐观版固定低额之间。</t>
        </r>
      </text>
    </comment>
    <comment ref="B27" authorId="0" shapeId="0">
      <text>
        <r>
          <rPr>
            <sz val="11"/>
            <color indexed="8"/>
            <rFont val="等线"/>
            <family val="2"/>
            <scheme val="minor"/>
          </rPr>
          <t>2024A 现金CAPEX = 购置厂房设备 3.73163 + 购置无形资产 0.43082。</t>
        </r>
      </text>
    </comment>
    <comment ref="C27" authorId="0" shapeId="0">
      <text>
        <r>
          <rPr>
            <sz val="11"/>
            <color indexed="8"/>
            <rFont val="等线"/>
            <family val="2"/>
            <scheme val="minor"/>
          </rPr>
          <t>2025A 现金CAPEX = 购置厂房设备 4.54304 + 购置无形资产 0.51724。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N6" authorId="0" shapeId="0">
      <text>
        <r>
          <rPr>
            <sz val="11"/>
            <color indexed="8"/>
            <rFont val="等线"/>
            <family val="2"/>
            <scheme val="minor"/>
          </rPr>
          <t>8年期 EV = 显性期 2026E-2033E 折现 FCFF + 2033E 终值现值。</t>
        </r>
      </text>
    </comment>
    <comment ref="K16" authorId="0" shapeId="0">
      <text>
        <r>
          <rPr>
            <sz val="11"/>
            <color indexed="8"/>
            <rFont val="等线"/>
            <family val="2"/>
            <scheme val="minor"/>
          </rPr>
          <t>2033E 期末门店数锚定 3,500 家，终值从这里开始。</t>
        </r>
      </text>
    </comment>
    <comment ref="I17" authorId="0" shapeId="0">
      <text>
        <r>
          <rPr>
            <sz val="11"/>
            <color indexed="8"/>
            <rFont val="等线"/>
            <family val="2"/>
            <scheme val="minor"/>
          </rPr>
          <t>2031E 开店明显放缓到 180 家。</t>
        </r>
      </text>
    </comment>
  </commentList>
</comments>
</file>

<file path=xl/sharedStrings.xml><?xml version="1.0" encoding="utf-8"?>
<sst xmlns="http://schemas.openxmlformats.org/spreadsheetml/2006/main" count="175" uniqueCount="108">
  <si>
    <t>股权成本</t>
  </si>
  <si>
    <t>税后债务成本</t>
  </si>
  <si>
    <t>企业现金流价值/亿</t>
  </si>
  <si>
    <t>负债率</t>
  </si>
  <si>
    <t>企业资产价值/亿</t>
  </si>
  <si>
    <t>WACC（折现率）</t>
  </si>
  <si>
    <t>DCF/亿</t>
  </si>
  <si>
    <t>永续增长率</t>
  </si>
  <si>
    <t>企业总股本/亿</t>
  </si>
  <si>
    <t>终期股价/RMB</t>
  </si>
  <si>
    <t>DCF计算年数</t>
  </si>
  <si>
    <t>终期股价/USD</t>
  </si>
  <si>
    <t>2030之后</t>
  </si>
  <si>
    <t>当前股价/USD</t>
  </si>
  <si>
    <t>自由现金流</t>
  </si>
  <si>
    <t>折价</t>
  </si>
  <si>
    <t>折现值</t>
  </si>
  <si>
    <t>年数</t>
  </si>
  <si>
    <t>年末店数</t>
  </si>
  <si>
    <t>单店平均GMV/万/年</t>
  </si>
  <si>
    <t>当年净开店数</t>
  </si>
  <si>
    <t>直营店比例</t>
  </si>
  <si>
    <t>直营店数</t>
  </si>
  <si>
    <t>直营店-海外新开</t>
  </si>
  <si>
    <t>直营店-国内新开</t>
  </si>
  <si>
    <t>直营店-国内回购</t>
  </si>
  <si>
    <t>加盟店数</t>
  </si>
  <si>
    <t>直营店现金流/万/年</t>
  </si>
  <si>
    <t>加盟店现金流/万/年</t>
  </si>
  <si>
    <t>公司年经营现金流（OCF）/亿</t>
  </si>
  <si>
    <t>CAPEX/亿</t>
  </si>
  <si>
    <t>自由现金流（FCF）/亿</t>
  </si>
  <si>
    <t>销售额/亿</t>
  </si>
  <si>
    <t>市销率</t>
  </si>
  <si>
    <t>终期股价/HKD</t>
  </si>
  <si>
    <t>当前股价/HKD</t>
  </si>
  <si>
    <t>店面数</t>
  </si>
  <si>
    <t>预计开店数</t>
  </si>
  <si>
    <t>平均单店GMV/月/万</t>
  </si>
  <si>
    <t>门店EBITDA/%</t>
  </si>
  <si>
    <t>总部EBITDA/%</t>
  </si>
  <si>
    <t>总部开支/%</t>
  </si>
  <si>
    <t>单店成本/万</t>
  </si>
  <si>
    <t>经营性自由现金流（OCF）/亿</t>
  </si>
  <si>
    <t>达势 DCF 重估（主版本，已修公式）</t>
  </si>
  <si>
    <t>说明：这是主版本。2025 全年使用 2026-03-25 年度业绩公告；L6-L9 汇总公式已修正。CAPEX 采用中性版五段法：新店装修设备 + 店特许费 + 软件/HQ + 维护改造 + 租赁按金；2026 净开店 350 家为管理层正式口径，2027-2030 为对齐 2030 年接近 3,000 家的模型假设。</t>
  </si>
  <si>
    <t>核心假设</t>
  </si>
  <si>
    <t>估值输出</t>
  </si>
  <si>
    <t>WACC</t>
  </si>
  <si>
    <t>经营资产价值/亿</t>
  </si>
  <si>
    <t>股权价值/亿</t>
  </si>
  <si>
    <t>非租赁净现金/亿</t>
  </si>
  <si>
    <t>每股价值/RMB</t>
  </si>
  <si>
    <t>总股本/亿</t>
  </si>
  <si>
    <t>每股价值/HKD</t>
  </si>
  <si>
    <t>RMB/HKD</t>
  </si>
  <si>
    <t>2024A</t>
  </si>
  <si>
    <t>2025A</t>
  </si>
  <si>
    <t>2026E</t>
  </si>
  <si>
    <t>2027E</t>
  </si>
  <si>
    <t>2028E</t>
  </si>
  <si>
    <t>2029E</t>
  </si>
  <si>
    <t>2030E</t>
  </si>
  <si>
    <t>期末门店数</t>
  </si>
  <si>
    <t>净开店数</t>
  </si>
  <si>
    <t>平均门店数</t>
  </si>
  <si>
    <t>平均单店月销售/万</t>
  </si>
  <si>
    <t>收入/亿</t>
  </si>
  <si>
    <t>敏感性（HKD/股）</t>
  </si>
  <si>
    <t>租赁调整后经营现金流率</t>
  </si>
  <si>
    <t>租赁调整后经营现金流/亿</t>
  </si>
  <si>
    <t>新店装修设备/店（百万元）</t>
  </si>
  <si>
    <t>店特许费/店（百万元）</t>
  </si>
  <si>
    <t>软件/HQ CAPEX/亿</t>
  </si>
  <si>
    <t>维护改造/亿</t>
  </si>
  <si>
    <t>现金CAPEX合计（不含租赁按金）/亿</t>
  </si>
  <si>
    <t>租赁按金及其他开店占用/亿</t>
  </si>
  <si>
    <t>FCFF/亿</t>
  </si>
  <si>
    <t>折现期数</t>
  </si>
  <si>
    <t>折现FCFF/亿</t>
  </si>
  <si>
    <t>终值FCFF/亿</t>
  </si>
  <si>
    <t>终值/亿</t>
  </si>
  <si>
    <t>终值现值/亿</t>
  </si>
  <si>
    <t>资料与口径</t>
  </si>
  <si>
    <t>建模备注</t>
  </si>
  <si>
    <t>2025全年业绩公告（官方）</t>
  </si>
  <si>
    <t>https://www.hkexnews.hk/listedco/listconews/sehk/2026/0325/2026032500521.pdf</t>
  </si>
  <si>
    <t>CAPEX 已改成中性版五段法：新店装修设备 + 店特许费 + 软件/HQ + 维护改造 + 租赁按金。</t>
  </si>
  <si>
    <t>2025中报业绩公告（官方）</t>
  </si>
  <si>
    <t>https://www.hkexnews.hk/listedco/listconews/sehk/2025/0828/2025082800898.pdf</t>
  </si>
  <si>
    <t>2026E 350 家为管理层正式口径；2027E-2030E 为模型假设，使 2030E 接近 3,000 家。</t>
  </si>
  <si>
    <t>2025中期报告（官方）</t>
  </si>
  <si>
    <t>https://www.hkexnews.hk/listedco/listconews/sehk/2025/0925/2025092500397.pdf</t>
  </si>
  <si>
    <t>中性版 CAPEX 比此前乐观版更高，尽量不低于管理层 2025 store development capex 指引的单店强度。</t>
  </si>
  <si>
    <t>2024全年业绩公告（官方）</t>
  </si>
  <si>
    <t>https://www.hkexnews.hk/listedco/listconews/sehk/2025/0327/2025032700696.pdf</t>
  </si>
  <si>
    <t>FY2025 年报附注尚未发布，所以 2025A 的 CAPEX 明细仍以 2024 年报附注 + 2025 中报附注推断。</t>
  </si>
  <si>
    <t>2024年报（官方）</t>
  </si>
  <si>
    <t>https://www.hkexnews.hk/listedco/listconews/sehk/2025/0423/2025042301002.pdf</t>
  </si>
  <si>
    <t>达势 DCF 重估（8年期，2033终值锚定3500家）</t>
  </si>
  <si>
    <t>说明：在主版本基础上扩展为 8 年显性预测期（2026E-2033E）。假设 2030 年后开店显著放缓，2031E-2033E 净开店分别为 180 / 160 / 160，2033E 期末门店数达到 3,500 家；终值从 2033E 开始计算。</t>
  </si>
  <si>
    <t>2031E</t>
  </si>
  <si>
    <t>2032E</t>
  </si>
  <si>
    <t>2033E</t>
  </si>
  <si>
    <t>8 年期版本将显性预测延长到 2033E，终值从 2033E 开始计算。</t>
  </si>
  <si>
    <t>2030 年后开店显著放缓：2031E-2033E 净开 180 / 160 / 160，2033E 期末门店数 3,500。</t>
  </si>
  <si>
    <t>2031E-2033E 单店月销售和租赁调整后经营现金流率继续改善，但斜率较 2026E-2030E 放缓。</t>
  </si>
  <si>
    <t>CAPEX 仍采用主版本的中性五段法，并随开店放缓逐年下降新店装修设备投入。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</si>
</sst>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00%"/>
    <numFmt numFmtId="177" formatCode="0.00_ "/>
    <numFmt numFmtId="178" formatCode="0.0%"/>
    <numFmt numFmtId="179" formatCode="0.00000"/>
  </numFmts>
  <fonts count="10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4"/>
      <name val="等线"/>
      <charset val="134"/>
    </font>
    <font>
      <b/>
      <sz val="11"/>
      <color rgb="FFFFFFFF"/>
      <name val="等线"/>
      <charset val="134"/>
    </font>
    <font>
      <sz val="11"/>
      <color rgb="FF0000FF"/>
      <name val="等线"/>
      <charset val="134"/>
    </font>
    <font>
      <b/>
      <sz val="14"/>
      <name val="等线"/>
      <charset val="134"/>
    </font>
    <font>
      <b/>
      <sz val="11"/>
      <color rgb="FFFFFFFF"/>
      <name val="等线"/>
      <charset val="134"/>
    </font>
    <font>
      <sz val="11"/>
      <color rgb="FF0000FF"/>
      <name val="等线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3F3F3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0" borderId="0" xfId="0" applyFont="1" applyAlignment="1"/>
    <xf numFmtId="0" fontId="5" fillId="5" borderId="2" xfId="0" applyFont="1" applyFill="1" applyBorder="1" applyAlignment="1"/>
    <xf numFmtId="0" fontId="0" fillId="6" borderId="2" xfId="0" applyFill="1" applyBorder="1" applyAlignment="1">
      <alignment horizontal="left" vertical="center"/>
    </xf>
    <xf numFmtId="2" fontId="0" fillId="8" borderId="2" xfId="0" applyNumberForma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/>
    </xf>
    <xf numFmtId="2" fontId="0" fillId="10" borderId="2" xfId="0" applyNumberFormat="1" applyFill="1" applyBorder="1" applyAlignment="1">
      <alignment horizontal="center" vertical="center"/>
    </xf>
    <xf numFmtId="1" fontId="0" fillId="10" borderId="2" xfId="0" applyNumberFormat="1" applyFill="1" applyBorder="1" applyAlignment="1">
      <alignment horizontal="center" vertical="center"/>
    </xf>
    <xf numFmtId="0" fontId="0" fillId="6" borderId="2" xfId="0" applyFill="1" applyBorder="1" applyAlignment="1"/>
    <xf numFmtId="0" fontId="0" fillId="0" borderId="2" xfId="0" applyBorder="1" applyAlignment="1">
      <alignment horizontal="left" vertical="top" wrapText="1"/>
    </xf>
    <xf numFmtId="0" fontId="0" fillId="0" borderId="0" xfId="0" applyAlignment="1"/>
    <xf numFmtId="176" fontId="2" fillId="0" borderId="0" xfId="0" applyNumberFormat="1" applyFont="1" applyAlignment="1">
      <alignment vertical="center"/>
    </xf>
    <xf numFmtId="177" fontId="2" fillId="0" borderId="1" xfId="0" applyNumberFormat="1" applyFont="1" applyBorder="1" applyAlignment="1">
      <alignment vertical="center"/>
    </xf>
    <xf numFmtId="178" fontId="6" fillId="7" borderId="2" xfId="0" applyNumberFormat="1" applyFont="1" applyFill="1" applyBorder="1" applyAlignment="1">
      <alignment horizontal="center" vertical="center"/>
    </xf>
    <xf numFmtId="179" fontId="6" fillId="7" borderId="2" xfId="0" applyNumberFormat="1" applyFont="1" applyFill="1" applyBorder="1" applyAlignment="1">
      <alignment horizontal="center" vertical="center"/>
    </xf>
    <xf numFmtId="178" fontId="0" fillId="9" borderId="2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6" borderId="2" xfId="0" applyNumberFormat="1" applyFill="1" applyBorder="1" applyAlignment="1">
      <alignment horizontal="center" vertical="center"/>
    </xf>
    <xf numFmtId="0" fontId="7" fillId="0" borderId="0" xfId="0" applyFont="1" applyAlignment="1"/>
    <xf numFmtId="0" fontId="8" fillId="11" borderId="5" xfId="0" applyFont="1" applyFill="1" applyBorder="1" applyAlignment="1"/>
    <xf numFmtId="0" fontId="0" fillId="12" borderId="5" xfId="0" applyFill="1" applyBorder="1" applyAlignment="1">
      <alignment horizontal="left" vertical="center"/>
    </xf>
    <xf numFmtId="178" fontId="9" fillId="13" borderId="5" xfId="0" applyNumberFormat="1" applyFon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9" fillId="13" borderId="5" xfId="0" applyNumberFormat="1" applyFont="1" applyFill="1" applyBorder="1" applyAlignment="1">
      <alignment horizontal="center" vertical="center"/>
    </xf>
    <xf numFmtId="179" fontId="9" fillId="13" borderId="5" xfId="0" applyNumberFormat="1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2" fontId="0" fillId="15" borderId="5" xfId="0" applyNumberFormat="1" applyFill="1" applyBorder="1" applyAlignment="1">
      <alignment horizontal="center" vertical="center"/>
    </xf>
    <xf numFmtId="2" fontId="0" fillId="16" borderId="5" xfId="0" applyNumberFormat="1" applyFill="1" applyBorder="1" applyAlignment="1">
      <alignment horizontal="center" vertical="center"/>
    </xf>
    <xf numFmtId="178" fontId="0" fillId="15" borderId="5" xfId="0" applyNumberFormat="1" applyFill="1" applyBorder="1" applyAlignment="1">
      <alignment horizontal="center" vertical="center"/>
    </xf>
    <xf numFmtId="178" fontId="0" fillId="16" borderId="5" xfId="0" applyNumberForma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center" vertical="center"/>
    </xf>
    <xf numFmtId="0" fontId="0" fillId="12" borderId="5" xfId="0" applyFill="1" applyBorder="1" applyAlignment="1"/>
    <xf numFmtId="0" fontId="0" fillId="0" borderId="5" xfId="0" applyBorder="1" applyAlignment="1">
      <alignment horizontal="left" vertical="top" wrapText="1"/>
    </xf>
    <xf numFmtId="0" fontId="0" fillId="10" borderId="2" xfId="0" applyFill="1" applyBorder="1" applyAlignment="1">
      <alignment horizontal="left" vertical="top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vertical="center"/>
    </xf>
    <xf numFmtId="0" fontId="0" fillId="16" borderId="5" xfId="0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zoomScale="85" zoomScaleNormal="85" workbookViewId="0">
      <selection activeCell="G34" sqref="G34"/>
    </sheetView>
  </sheetViews>
  <sheetFormatPr defaultRowHeight="16.5" x14ac:dyDescent="0.2"/>
  <cols>
    <col min="1" max="1" width="27.375" style="1" customWidth="1"/>
    <col min="2" max="2" width="17.125" style="1" customWidth="1"/>
    <col min="3" max="3" width="16.75" style="1" customWidth="1"/>
    <col min="4" max="4" width="18.125" style="1" customWidth="1"/>
    <col min="5" max="5" width="17.875" style="1" customWidth="1"/>
    <col min="6" max="6" width="20.375" style="1" customWidth="1"/>
    <col min="7" max="7" width="15.875" style="1" customWidth="1"/>
    <col min="8" max="8" width="12.625" style="1" customWidth="1"/>
    <col min="9" max="9" width="17.125" style="1" customWidth="1"/>
    <col min="10" max="10" width="9" style="1" customWidth="1"/>
    <col min="11" max="11" width="17.125" style="1" customWidth="1"/>
    <col min="12" max="12" width="13.75" style="1" customWidth="1"/>
    <col min="13" max="15" width="9" style="1" customWidth="1"/>
    <col min="16" max="16384" width="9" style="1"/>
  </cols>
  <sheetData>
    <row r="2" spans="1:12" x14ac:dyDescent="0.2">
      <c r="A2" s="1" t="s">
        <v>0</v>
      </c>
      <c r="B2" s="2">
        <f>2.5%+1.4*8%</f>
        <v>0.13699999999999998</v>
      </c>
    </row>
    <row r="3" spans="1:12" x14ac:dyDescent="0.2">
      <c r="A3" s="1" t="s">
        <v>1</v>
      </c>
      <c r="B3" s="2">
        <f>(2.5%+0.75%)*(1-25%)</f>
        <v>2.4375000000000001E-2</v>
      </c>
      <c r="K3" s="5" t="s">
        <v>2</v>
      </c>
      <c r="L3" s="3">
        <f>ROUND(SUM(B11:G11),2)</f>
        <v>183.44</v>
      </c>
    </row>
    <row r="4" spans="1:12" x14ac:dyDescent="0.2">
      <c r="A4" s="1" t="s">
        <v>3</v>
      </c>
      <c r="B4" s="2">
        <v>0</v>
      </c>
      <c r="K4" s="5" t="s">
        <v>4</v>
      </c>
      <c r="L4" s="3">
        <v>85</v>
      </c>
    </row>
    <row r="5" spans="1:12" x14ac:dyDescent="0.2">
      <c r="A5" s="1" t="s">
        <v>5</v>
      </c>
      <c r="B5" s="23">
        <f>ROUND((1-$B$4)*$B$2+$B$4*$B$3,3)</f>
        <v>0.13700000000000001</v>
      </c>
      <c r="K5" s="5" t="s">
        <v>6</v>
      </c>
      <c r="L5" s="3">
        <f>L3+L4</f>
        <v>268.44</v>
      </c>
    </row>
    <row r="6" spans="1:12" x14ac:dyDescent="0.2">
      <c r="A6" s="1" t="s">
        <v>7</v>
      </c>
      <c r="B6" s="7">
        <v>0.01</v>
      </c>
      <c r="K6" s="5" t="s">
        <v>8</v>
      </c>
      <c r="L6" s="3">
        <v>1.9</v>
      </c>
    </row>
    <row r="7" spans="1:12" x14ac:dyDescent="0.2">
      <c r="K7" s="1" t="s">
        <v>9</v>
      </c>
      <c r="L7" s="1">
        <f>L5/L6</f>
        <v>141.2842105263158</v>
      </c>
    </row>
    <row r="8" spans="1:12" x14ac:dyDescent="0.2">
      <c r="A8" s="1" t="s">
        <v>10</v>
      </c>
      <c r="B8" s="1">
        <v>3</v>
      </c>
      <c r="K8" s="1" t="s">
        <v>11</v>
      </c>
      <c r="L8" s="1">
        <f>L7/6.93</f>
        <v>20.387331966279337</v>
      </c>
    </row>
    <row r="9" spans="1:12" x14ac:dyDescent="0.2">
      <c r="A9" s="4"/>
      <c r="B9" s="4">
        <v>2026</v>
      </c>
      <c r="C9" s="4">
        <v>2027</v>
      </c>
      <c r="D9" s="4">
        <v>2028</v>
      </c>
      <c r="E9" s="4">
        <v>2029</v>
      </c>
      <c r="F9" s="4" t="s">
        <v>12</v>
      </c>
      <c r="G9" s="4" t="s">
        <v>12</v>
      </c>
      <c r="K9" s="1" t="s">
        <v>13</v>
      </c>
      <c r="L9" s="1">
        <v>10.9</v>
      </c>
    </row>
    <row r="10" spans="1:12" x14ac:dyDescent="0.2">
      <c r="A10" s="3" t="s">
        <v>14</v>
      </c>
      <c r="B10" s="3">
        <f>B33</f>
        <v>10.75</v>
      </c>
      <c r="C10" s="3">
        <f>C33</f>
        <v>17.16</v>
      </c>
      <c r="D10" s="3">
        <f>D33</f>
        <v>21.5</v>
      </c>
      <c r="E10" s="3">
        <f>E33</f>
        <v>25.25</v>
      </c>
      <c r="F10" s="3">
        <f>F33</f>
        <v>27.8</v>
      </c>
      <c r="G10" s="3">
        <f>F10*(1+$B$6)</f>
        <v>28.077999999999999</v>
      </c>
      <c r="K10" s="1" t="s">
        <v>15</v>
      </c>
      <c r="L10" s="8">
        <f>L9/L8</f>
        <v>0.53464573088958423</v>
      </c>
    </row>
    <row r="11" spans="1:12" x14ac:dyDescent="0.2">
      <c r="A11" s="3" t="s">
        <v>16</v>
      </c>
      <c r="B11" s="3">
        <f>B10/(1+$B$5)^B12</f>
        <v>9.4547053649956023</v>
      </c>
      <c r="C11" s="3">
        <f>C10/(1+$B$5)^C12</f>
        <v>13.273833144204417</v>
      </c>
      <c r="D11" s="3">
        <f>D10/(1+$B$5)^D12</f>
        <v>14.627060774191834</v>
      </c>
      <c r="E11" s="3">
        <f>E10/(1+$B$5)^E12</f>
        <v>15.108436503583228</v>
      </c>
      <c r="F11" s="3">
        <f>F10/(1+$B$5)^F12</f>
        <v>14.629937556697362</v>
      </c>
      <c r="G11" s="3">
        <f>G10/($B$5-$B$6)/(1+$B$5)^G12</f>
        <v>116.34832230129398</v>
      </c>
    </row>
    <row r="12" spans="1:12" x14ac:dyDescent="0.2">
      <c r="A12" s="3" t="s">
        <v>17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5</v>
      </c>
    </row>
    <row r="13" spans="1:12" x14ac:dyDescent="0.2">
      <c r="A13" s="3"/>
      <c r="B13" s="3"/>
      <c r="C13" s="3"/>
      <c r="D13" s="3"/>
      <c r="E13" s="3"/>
      <c r="F13" s="3"/>
      <c r="G13" s="3"/>
    </row>
    <row r="14" spans="1:12" x14ac:dyDescent="0.2">
      <c r="A14" s="3"/>
      <c r="B14" s="3"/>
      <c r="C14" s="3"/>
      <c r="D14" s="3"/>
      <c r="E14" s="3"/>
      <c r="F14" s="3"/>
      <c r="G14" s="3"/>
    </row>
    <row r="19" spans="1:8" x14ac:dyDescent="0.2">
      <c r="A19" s="5"/>
      <c r="B19" s="5">
        <v>2026</v>
      </c>
      <c r="C19" s="5">
        <v>2027</v>
      </c>
      <c r="D19" s="5">
        <v>2028</v>
      </c>
      <c r="E19" s="5">
        <v>2029</v>
      </c>
      <c r="F19" s="5">
        <v>2030</v>
      </c>
    </row>
    <row r="20" spans="1:8" x14ac:dyDescent="0.2">
      <c r="A20" s="3" t="s">
        <v>18</v>
      </c>
      <c r="B20" s="3">
        <v>8500</v>
      </c>
      <c r="C20" s="3">
        <f>B20+B22</f>
        <v>9400</v>
      </c>
      <c r="D20" s="3">
        <f>C20+C22</f>
        <v>10200</v>
      </c>
      <c r="E20" s="3">
        <f>D20+D22</f>
        <v>10900</v>
      </c>
      <c r="F20" s="3">
        <f>E20+E22</f>
        <v>11500</v>
      </c>
    </row>
    <row r="21" spans="1:8" x14ac:dyDescent="0.2">
      <c r="A21" s="3" t="s">
        <v>19</v>
      </c>
      <c r="B21" s="3">
        <v>450</v>
      </c>
      <c r="C21" s="3">
        <f>B21-5</f>
        <v>445</v>
      </c>
      <c r="D21" s="3">
        <f>C21-5</f>
        <v>440</v>
      </c>
      <c r="E21" s="3">
        <f>D21-5</f>
        <v>435</v>
      </c>
      <c r="F21" s="3">
        <f>E21-5</f>
        <v>430</v>
      </c>
    </row>
    <row r="22" spans="1:8" x14ac:dyDescent="0.2">
      <c r="A22" s="3" t="s">
        <v>20</v>
      </c>
      <c r="B22" s="3">
        <v>900</v>
      </c>
      <c r="C22" s="3">
        <f>B22-100</f>
        <v>800</v>
      </c>
      <c r="D22" s="3">
        <f>C22-100</f>
        <v>700</v>
      </c>
      <c r="E22" s="3">
        <f>D22-100</f>
        <v>600</v>
      </c>
      <c r="F22" s="3">
        <f>E22-100</f>
        <v>500</v>
      </c>
    </row>
    <row r="23" spans="1:8" x14ac:dyDescent="0.2">
      <c r="A23" s="3" t="s">
        <v>21</v>
      </c>
      <c r="B23" s="9">
        <v>0.08</v>
      </c>
      <c r="C23" s="6">
        <f>B23+2%</f>
        <v>0.1</v>
      </c>
      <c r="D23" s="6">
        <f>C23+2%</f>
        <v>0.12000000000000001</v>
      </c>
      <c r="E23" s="6">
        <f>D23+2%</f>
        <v>0.14000000000000001</v>
      </c>
      <c r="F23" s="6">
        <f>E23+2%</f>
        <v>0.16</v>
      </c>
    </row>
    <row r="24" spans="1:8" x14ac:dyDescent="0.2">
      <c r="A24" s="3" t="s">
        <v>22</v>
      </c>
      <c r="B24" s="3">
        <f>INT(B20*B23)</f>
        <v>680</v>
      </c>
      <c r="C24" s="3">
        <f>INT(C20*C23)</f>
        <v>940</v>
      </c>
      <c r="D24" s="3">
        <f>INT(D20*D23)</f>
        <v>1224</v>
      </c>
      <c r="E24" s="3">
        <f>INT(E20*E23)</f>
        <v>1526</v>
      </c>
      <c r="F24" s="3">
        <f>INT(F20*F23)</f>
        <v>1840</v>
      </c>
    </row>
    <row r="25" spans="1:8" x14ac:dyDescent="0.2">
      <c r="A25" s="3" t="s">
        <v>23</v>
      </c>
      <c r="B25" s="3">
        <f>INT((B$24-300)*$G25)</f>
        <v>152</v>
      </c>
      <c r="C25" s="3">
        <f t="shared" ref="C25:F27" si="0">INT((C$24-B$24)*$G25)</f>
        <v>104</v>
      </c>
      <c r="D25" s="3">
        <f t="shared" si="0"/>
        <v>113</v>
      </c>
      <c r="E25" s="3">
        <f t="shared" si="0"/>
        <v>120</v>
      </c>
      <c r="F25" s="3">
        <f t="shared" si="0"/>
        <v>125</v>
      </c>
      <c r="G25" s="2">
        <v>0.4</v>
      </c>
      <c r="H25" s="1">
        <v>250</v>
      </c>
    </row>
    <row r="26" spans="1:8" x14ac:dyDescent="0.2">
      <c r="A26" s="3" t="s">
        <v>24</v>
      </c>
      <c r="B26" s="3">
        <f>INT((B$24-300)*$G26)</f>
        <v>76</v>
      </c>
      <c r="C26" s="3">
        <f t="shared" si="0"/>
        <v>52</v>
      </c>
      <c r="D26" s="3">
        <f t="shared" si="0"/>
        <v>56</v>
      </c>
      <c r="E26" s="3">
        <f t="shared" si="0"/>
        <v>60</v>
      </c>
      <c r="F26" s="3">
        <f t="shared" si="0"/>
        <v>62</v>
      </c>
      <c r="G26" s="2">
        <v>0.2</v>
      </c>
      <c r="H26" s="1">
        <v>150</v>
      </c>
    </row>
    <row r="27" spans="1:8" x14ac:dyDescent="0.2">
      <c r="A27" s="3" t="s">
        <v>25</v>
      </c>
      <c r="B27" s="3">
        <f>INT((B$24-300)*$G27)</f>
        <v>152</v>
      </c>
      <c r="C27" s="3">
        <f t="shared" si="0"/>
        <v>104</v>
      </c>
      <c r="D27" s="3">
        <f t="shared" si="0"/>
        <v>113</v>
      </c>
      <c r="E27" s="3">
        <f t="shared" si="0"/>
        <v>120</v>
      </c>
      <c r="F27" s="3">
        <f t="shared" si="0"/>
        <v>125</v>
      </c>
      <c r="G27" s="2">
        <v>0.4</v>
      </c>
      <c r="H27" s="1">
        <v>70</v>
      </c>
    </row>
    <row r="28" spans="1:8" x14ac:dyDescent="0.2">
      <c r="A28" s="3" t="s">
        <v>26</v>
      </c>
      <c r="B28" s="3">
        <f>B20-B24</f>
        <v>7820</v>
      </c>
      <c r="C28" s="3">
        <f>C20-C24</f>
        <v>8460</v>
      </c>
      <c r="D28" s="3">
        <f>D20-D24</f>
        <v>8976</v>
      </c>
      <c r="E28" s="3">
        <f>E20-E24</f>
        <v>9374</v>
      </c>
      <c r="F28" s="3">
        <f>F20-F24</f>
        <v>9660</v>
      </c>
    </row>
    <row r="29" spans="1:8" x14ac:dyDescent="0.2">
      <c r="A29" s="10" t="s">
        <v>27</v>
      </c>
      <c r="B29" s="10">
        <v>-150</v>
      </c>
      <c r="C29" s="10">
        <v>-80</v>
      </c>
      <c r="D29" s="10">
        <v>-30</v>
      </c>
      <c r="E29" s="10">
        <v>0</v>
      </c>
      <c r="F29" s="10">
        <v>10</v>
      </c>
    </row>
    <row r="30" spans="1:8" x14ac:dyDescent="0.2">
      <c r="A30" s="10" t="s">
        <v>28</v>
      </c>
      <c r="B30" s="10">
        <v>36</v>
      </c>
      <c r="C30" s="10">
        <v>35</v>
      </c>
      <c r="D30" s="10">
        <v>34</v>
      </c>
      <c r="E30" s="10">
        <v>33</v>
      </c>
      <c r="F30" s="10">
        <v>33</v>
      </c>
    </row>
    <row r="31" spans="1:8" x14ac:dyDescent="0.2">
      <c r="A31" s="3" t="s">
        <v>29</v>
      </c>
      <c r="B31" s="3">
        <f>(B29*B24+B30*(B20-B24))/10000</f>
        <v>17.952000000000002</v>
      </c>
      <c r="C31" s="3">
        <f>(C29*C24+C30*(C20-C24))/10000</f>
        <v>22.09</v>
      </c>
      <c r="D31" s="3">
        <f>(D29*D24+D30*(D20-D24))/10000</f>
        <v>26.846399999999999</v>
      </c>
      <c r="E31" s="3">
        <f>(E29*E24+E30*(E20-E24))/10000</f>
        <v>30.934200000000001</v>
      </c>
      <c r="F31" s="3">
        <f>(F29*F24+F30*(F20-F24))/10000</f>
        <v>33.718000000000004</v>
      </c>
    </row>
    <row r="32" spans="1:8" x14ac:dyDescent="0.2">
      <c r="A32" s="10" t="s">
        <v>30</v>
      </c>
      <c r="B32" s="10">
        <f>SUMPRODUCT(B25:B27,$H$25:$H$27)/10000*1.2</f>
        <v>7.2047999999999988</v>
      </c>
      <c r="C32" s="10">
        <f>SUMPRODUCT(C25:C27,$H$25:$H$27)/10000*1.2</f>
        <v>4.9295999999999998</v>
      </c>
      <c r="D32" s="10">
        <f>SUMPRODUCT(D25:D27,$H$25:$H$27)/10000*1.2</f>
        <v>5.3472</v>
      </c>
      <c r="E32" s="10">
        <f>SUMPRODUCT(E25:E27,$H$25:$H$27)/10000*1.2</f>
        <v>5.6879999999999997</v>
      </c>
      <c r="F32" s="10">
        <f>SUMPRODUCT(F25:F27,$H$25:$H$27)/10000*1.2</f>
        <v>5.9159999999999995</v>
      </c>
    </row>
    <row r="33" spans="1:6" x14ac:dyDescent="0.2">
      <c r="A33" s="3" t="s">
        <v>31</v>
      </c>
      <c r="B33" s="3">
        <f>ROUND(B31-B32,2)</f>
        <v>10.75</v>
      </c>
      <c r="C33" s="3">
        <f>ROUND(C31-C32,2)</f>
        <v>17.16</v>
      </c>
      <c r="D33" s="3">
        <f>ROUND(D31-D32,2)</f>
        <v>21.5</v>
      </c>
      <c r="E33" s="3">
        <f>ROUND(E31-E32,2)</f>
        <v>25.25</v>
      </c>
      <c r="F33" s="3">
        <f>ROUND(F31-F32,2)</f>
        <v>27.8</v>
      </c>
    </row>
    <row r="34" spans="1:6" x14ac:dyDescent="0.2">
      <c r="A34" s="3" t="s">
        <v>32</v>
      </c>
      <c r="B34" s="3">
        <f>(B20-B22/2)*B21/10000</f>
        <v>362.25</v>
      </c>
      <c r="C34" s="3">
        <f>(C20-C22/2)*C21/10000</f>
        <v>400.5</v>
      </c>
      <c r="D34" s="3">
        <f>(D20-D22/2)*D21/10000</f>
        <v>433.4</v>
      </c>
      <c r="E34" s="3">
        <f>(E20-E22/2)*E21/10000</f>
        <v>461.1</v>
      </c>
      <c r="F34" s="3">
        <f>(F20-F22/2)*F21/10000</f>
        <v>483.75</v>
      </c>
    </row>
    <row r="35" spans="1:6" x14ac:dyDescent="0.2">
      <c r="A35" s="3" t="s">
        <v>33</v>
      </c>
      <c r="B35" s="3">
        <f>ROUND(($L$9*$L$6*6.92)/B34,2)</f>
        <v>0.4</v>
      </c>
      <c r="C35" s="3">
        <f>ROUND(($L$9*$L$6*6.92)/C34,2)</f>
        <v>0.36</v>
      </c>
      <c r="D35" s="3">
        <f>ROUND(($L$9*$L$6*6.92)/D34,2)</f>
        <v>0.33</v>
      </c>
      <c r="E35" s="3">
        <f>ROUND(($L$9*$L$6*6.92)/E34,2)</f>
        <v>0.31</v>
      </c>
      <c r="F35" s="3">
        <f>ROUND(($L$9*$L$6*6.92)/F34,2)</f>
        <v>0.3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zoomScale="85" zoomScaleNormal="85" workbookViewId="0">
      <selection activeCell="C41" sqref="C41"/>
    </sheetView>
  </sheetViews>
  <sheetFormatPr defaultRowHeight="16.5" x14ac:dyDescent="0.2"/>
  <cols>
    <col min="1" max="1" width="27.375" style="1" customWidth="1"/>
    <col min="2" max="2" width="17.125" style="1" customWidth="1"/>
    <col min="3" max="3" width="16.75" style="1" customWidth="1"/>
    <col min="4" max="4" width="18.125" style="1" customWidth="1"/>
    <col min="5" max="5" width="17.875" style="1" customWidth="1"/>
    <col min="6" max="6" width="20.375" style="1" customWidth="1"/>
    <col min="7" max="7" width="21.375" style="1" customWidth="1"/>
    <col min="8" max="8" width="21" style="1" customWidth="1"/>
    <col min="9" max="9" width="17.125" style="1" customWidth="1"/>
    <col min="10" max="10" width="9" style="1" customWidth="1"/>
    <col min="11" max="11" width="17.125" style="1" customWidth="1"/>
    <col min="12" max="12" width="13.75" style="1" customWidth="1"/>
    <col min="13" max="15" width="9" style="1" customWidth="1"/>
    <col min="16" max="16384" width="9" style="1"/>
  </cols>
  <sheetData>
    <row r="2" spans="1:12" x14ac:dyDescent="0.2">
      <c r="A2" s="1" t="s">
        <v>0</v>
      </c>
      <c r="B2" s="2">
        <f>2.5%+1.1*8%</f>
        <v>0.11300000000000002</v>
      </c>
    </row>
    <row r="3" spans="1:12" x14ac:dyDescent="0.2">
      <c r="A3" s="1" t="s">
        <v>1</v>
      </c>
      <c r="B3" s="2">
        <f>(2.5%+0.75%)*(1-25%)</f>
        <v>2.4375000000000001E-2</v>
      </c>
      <c r="K3" s="5" t="s">
        <v>2</v>
      </c>
      <c r="L3" s="3">
        <f>ROUND(SUM(B11:G11),2)</f>
        <v>85.58</v>
      </c>
    </row>
    <row r="4" spans="1:12" x14ac:dyDescent="0.2">
      <c r="A4" s="1" t="s">
        <v>3</v>
      </c>
      <c r="B4" s="2">
        <v>0.12</v>
      </c>
      <c r="K4" s="5" t="s">
        <v>4</v>
      </c>
      <c r="L4" s="3">
        <v>12.6</v>
      </c>
    </row>
    <row r="5" spans="1:12" x14ac:dyDescent="0.2">
      <c r="A5" s="1" t="s">
        <v>5</v>
      </c>
      <c r="B5" s="23">
        <f>ROUND((1-$B$4)*$B$2+$B$4*$B$3,3)</f>
        <v>0.10199999999999999</v>
      </c>
      <c r="K5" s="5" t="s">
        <v>6</v>
      </c>
      <c r="L5" s="3">
        <f>L3+L4</f>
        <v>98.179999999999993</v>
      </c>
    </row>
    <row r="6" spans="1:12" x14ac:dyDescent="0.2">
      <c r="A6" s="1" t="s">
        <v>7</v>
      </c>
      <c r="B6" s="7">
        <v>0.02</v>
      </c>
      <c r="K6" s="5" t="s">
        <v>8</v>
      </c>
      <c r="L6" s="3">
        <v>1.31</v>
      </c>
    </row>
    <row r="7" spans="1:12" x14ac:dyDescent="0.2">
      <c r="K7" s="1" t="s">
        <v>9</v>
      </c>
      <c r="L7" s="1">
        <f>L5/L6</f>
        <v>74.946564885496173</v>
      </c>
    </row>
    <row r="8" spans="1:12" x14ac:dyDescent="0.2">
      <c r="A8" s="1" t="s">
        <v>10</v>
      </c>
      <c r="B8" s="1">
        <v>3</v>
      </c>
      <c r="K8" s="1" t="s">
        <v>34</v>
      </c>
      <c r="L8" s="1">
        <f>L7/0.89</f>
        <v>84.209623466849635</v>
      </c>
    </row>
    <row r="9" spans="1:12" x14ac:dyDescent="0.2">
      <c r="A9" s="4"/>
      <c r="B9" s="4">
        <v>2026</v>
      </c>
      <c r="C9" s="4">
        <v>2027</v>
      </c>
      <c r="D9" s="4">
        <v>2028</v>
      </c>
      <c r="E9" s="4">
        <v>2029</v>
      </c>
      <c r="F9" s="4" t="s">
        <v>12</v>
      </c>
      <c r="G9" s="4" t="s">
        <v>12</v>
      </c>
      <c r="K9" s="1" t="s">
        <v>35</v>
      </c>
      <c r="L9" s="1">
        <v>62</v>
      </c>
    </row>
    <row r="10" spans="1:12" x14ac:dyDescent="0.2">
      <c r="A10" s="3" t="s">
        <v>14</v>
      </c>
      <c r="B10" s="3">
        <f>D29</f>
        <v>1.9135999999999997</v>
      </c>
      <c r="C10" s="3">
        <f>E29</f>
        <v>3.3224799999999997</v>
      </c>
      <c r="D10" s="3">
        <f>F29</f>
        <v>4.7183500000000009</v>
      </c>
      <c r="E10" s="3">
        <f>G29</f>
        <v>6.3465600000000002</v>
      </c>
      <c r="F10" s="3">
        <f>H29</f>
        <v>8.8622950000000014</v>
      </c>
      <c r="G10" s="3">
        <f>F10*(1+$B$6)</f>
        <v>9.0395409000000022</v>
      </c>
      <c r="K10" s="1" t="s">
        <v>15</v>
      </c>
      <c r="L10" s="8">
        <f>L9/L8</f>
        <v>0.73625789366469763</v>
      </c>
    </row>
    <row r="11" spans="1:12" x14ac:dyDescent="0.2">
      <c r="A11" s="3" t="s">
        <v>16</v>
      </c>
      <c r="B11" s="3">
        <f>B10/(1+$B$5)^B12</f>
        <v>1.7364791288566239</v>
      </c>
      <c r="C11" s="3">
        <f>C10/(1+$B$5)^C12</f>
        <v>2.7358934917869169</v>
      </c>
      <c r="D11" s="3">
        <f>D10/(1+$B$5)^D12</f>
        <v>3.5257001124990013</v>
      </c>
      <c r="E11" s="3">
        <f>E10/(1+$B$5)^E12</f>
        <v>4.3034029390987536</v>
      </c>
      <c r="F11" s="3">
        <f>F10/(1+$B$5)^F12</f>
        <v>5.4530343039630731</v>
      </c>
      <c r="G11" s="3">
        <f>G10/($B$5-$B$6)/(1+$B$5)^G12</f>
        <v>67.830426707833368</v>
      </c>
    </row>
    <row r="12" spans="1:12" x14ac:dyDescent="0.2">
      <c r="A12" s="3" t="s">
        <v>17</v>
      </c>
      <c r="B12" s="3">
        <v>1</v>
      </c>
      <c r="C12" s="3">
        <v>2</v>
      </c>
      <c r="D12" s="3">
        <v>3</v>
      </c>
      <c r="E12" s="3">
        <v>4</v>
      </c>
      <c r="F12" s="3">
        <v>5</v>
      </c>
      <c r="G12" s="3">
        <v>5</v>
      </c>
    </row>
    <row r="13" spans="1:12" x14ac:dyDescent="0.2">
      <c r="A13" s="3"/>
      <c r="B13" s="3"/>
      <c r="C13" s="3"/>
      <c r="D13" s="3"/>
      <c r="E13" s="3"/>
      <c r="F13" s="3"/>
      <c r="G13" s="3"/>
    </row>
    <row r="14" spans="1:12" x14ac:dyDescent="0.2">
      <c r="A14" s="3"/>
      <c r="B14" s="3"/>
      <c r="C14" s="3"/>
      <c r="D14" s="3"/>
      <c r="E14" s="3"/>
      <c r="F14" s="3"/>
      <c r="G14" s="3"/>
    </row>
    <row r="19" spans="1:8" x14ac:dyDescent="0.2">
      <c r="A19" s="5"/>
      <c r="B19" s="5">
        <v>2024</v>
      </c>
      <c r="C19" s="5">
        <v>2025</v>
      </c>
      <c r="D19" s="5">
        <v>2026</v>
      </c>
      <c r="E19" s="5">
        <v>2027</v>
      </c>
      <c r="F19" s="5">
        <v>2028</v>
      </c>
      <c r="G19" s="5">
        <v>2029</v>
      </c>
      <c r="H19" s="5">
        <v>2030</v>
      </c>
    </row>
    <row r="20" spans="1:8" x14ac:dyDescent="0.2">
      <c r="A20" s="3" t="s">
        <v>36</v>
      </c>
      <c r="B20" s="3">
        <v>1008</v>
      </c>
      <c r="C20" s="3">
        <v>1315</v>
      </c>
      <c r="D20" s="3">
        <f>C20+320</f>
        <v>1635</v>
      </c>
      <c r="E20" s="3">
        <f>D20+D21</f>
        <v>1955</v>
      </c>
      <c r="F20" s="3">
        <f>E20+E21</f>
        <v>2280</v>
      </c>
      <c r="G20" s="3">
        <f>F20+F21</f>
        <v>2610</v>
      </c>
      <c r="H20" s="3">
        <f>G20+G21</f>
        <v>2945</v>
      </c>
    </row>
    <row r="21" spans="1:8" x14ac:dyDescent="0.2">
      <c r="A21" s="3" t="s">
        <v>37</v>
      </c>
      <c r="B21" s="3">
        <v>240</v>
      </c>
      <c r="C21" s="3">
        <v>307</v>
      </c>
      <c r="D21" s="3">
        <v>320</v>
      </c>
      <c r="E21" s="3">
        <f>D21+5</f>
        <v>325</v>
      </c>
      <c r="F21" s="3">
        <f>E21+5</f>
        <v>330</v>
      </c>
      <c r="G21" s="3">
        <f>F21+5</f>
        <v>335</v>
      </c>
      <c r="H21" s="3">
        <f>G21+5</f>
        <v>340</v>
      </c>
    </row>
    <row r="22" spans="1:8" x14ac:dyDescent="0.2">
      <c r="A22" s="3" t="s">
        <v>38</v>
      </c>
      <c r="B22" s="3">
        <v>36</v>
      </c>
      <c r="C22" s="3">
        <f>1.24*30</f>
        <v>37.200000000000003</v>
      </c>
      <c r="D22" s="3">
        <f>ROUND(C22*1,2)</f>
        <v>37.200000000000003</v>
      </c>
      <c r="E22" s="3">
        <f>ROUND(D22*1,2)</f>
        <v>37.200000000000003</v>
      </c>
      <c r="F22" s="3">
        <f>ROUND(E22*1,2)</f>
        <v>37.200000000000003</v>
      </c>
      <c r="G22" s="3">
        <f>ROUND(F22*1,2)</f>
        <v>37.200000000000003</v>
      </c>
      <c r="H22" s="3">
        <f>ROUND(G22*1,2)</f>
        <v>37.200000000000003</v>
      </c>
    </row>
    <row r="23" spans="1:8" x14ac:dyDescent="0.2">
      <c r="A23" s="3" t="s">
        <v>39</v>
      </c>
      <c r="B23" s="6">
        <v>0.193</v>
      </c>
      <c r="C23" s="6">
        <v>0.186</v>
      </c>
      <c r="D23" s="6">
        <v>0.186</v>
      </c>
      <c r="E23" s="6">
        <v>0.186</v>
      </c>
      <c r="F23" s="6">
        <v>0.186</v>
      </c>
      <c r="G23" s="6">
        <v>0.186</v>
      </c>
      <c r="H23" s="6">
        <v>0.19500000000000001</v>
      </c>
    </row>
    <row r="24" spans="1:8" x14ac:dyDescent="0.2">
      <c r="A24" s="3" t="s">
        <v>40</v>
      </c>
      <c r="B24" s="6">
        <v>0.114</v>
      </c>
      <c r="C24" s="6">
        <v>0.11799999999999999</v>
      </c>
      <c r="D24" s="6">
        <f>D23-D25</f>
        <v>0.11899999999999999</v>
      </c>
      <c r="E24" s="6">
        <f>E23-E25</f>
        <v>0.121</v>
      </c>
      <c r="F24" s="6">
        <f>F23-F25</f>
        <v>0.123</v>
      </c>
      <c r="G24" s="6">
        <f>G23-G25</f>
        <v>0.127</v>
      </c>
      <c r="H24" s="6">
        <f>H23-H25</f>
        <v>0.13900000000000001</v>
      </c>
    </row>
    <row r="25" spans="1:8" x14ac:dyDescent="0.2">
      <c r="A25" s="3" t="s">
        <v>41</v>
      </c>
      <c r="B25" s="6">
        <f>B23-B24</f>
        <v>7.9000000000000001E-2</v>
      </c>
      <c r="C25" s="6">
        <f>C23-C24</f>
        <v>6.8000000000000005E-2</v>
      </c>
      <c r="D25" s="6">
        <v>6.7000000000000004E-2</v>
      </c>
      <c r="E25" s="6">
        <v>6.5000000000000002E-2</v>
      </c>
      <c r="F25" s="6">
        <v>6.3E-2</v>
      </c>
      <c r="G25" s="6">
        <v>5.8999999999999997E-2</v>
      </c>
      <c r="H25" s="6">
        <v>5.6000000000000001E-2</v>
      </c>
    </row>
    <row r="26" spans="1:8" x14ac:dyDescent="0.2">
      <c r="A26" s="3" t="s">
        <v>42</v>
      </c>
      <c r="B26" s="3">
        <v>140</v>
      </c>
      <c r="C26" s="3">
        <v>130</v>
      </c>
      <c r="D26" s="24">
        <f>ROUND(C26*1.01,2)</f>
        <v>131.30000000000001</v>
      </c>
      <c r="E26" s="24">
        <f>ROUND(D26*1.01,2)</f>
        <v>132.61000000000001</v>
      </c>
      <c r="F26" s="24">
        <f>ROUND(E26*1.01,2)</f>
        <v>133.94</v>
      </c>
      <c r="G26" s="24">
        <f>ROUND(F26*1.01,2)</f>
        <v>135.28</v>
      </c>
      <c r="H26" s="24">
        <f>ROUND(G26*1.01,2)</f>
        <v>136.63</v>
      </c>
    </row>
    <row r="27" spans="1:8" x14ac:dyDescent="0.2">
      <c r="A27" s="3" t="s">
        <v>30</v>
      </c>
      <c r="B27" s="3">
        <v>3.73</v>
      </c>
      <c r="C27" s="3">
        <f>120/10000*(C20-B20)</f>
        <v>3.6840000000000002</v>
      </c>
      <c r="D27" s="3">
        <f>D26/10000*(D20-C20)</f>
        <v>4.2016</v>
      </c>
      <c r="E27" s="3">
        <f>E26/10000*(E20-D20)</f>
        <v>4.2435200000000002</v>
      </c>
      <c r="F27" s="3">
        <f>F26/10000*(F20-E20)</f>
        <v>4.3530499999999996</v>
      </c>
      <c r="G27" s="3">
        <f>G26/10000*(G20-F20)</f>
        <v>4.4642400000000002</v>
      </c>
      <c r="H27" s="3">
        <f>H26/10000*(H20-G20)</f>
        <v>4.5771049999999995</v>
      </c>
    </row>
    <row r="28" spans="1:8" x14ac:dyDescent="0.2">
      <c r="A28" s="3" t="s">
        <v>43</v>
      </c>
      <c r="B28" s="3">
        <f>ROUND((B20-95)*B22/10000*12*B24,2)*0.78</f>
        <v>3.5100000000000002</v>
      </c>
      <c r="C28" s="3">
        <f t="shared" ref="C28:H28" si="0">ROUND((C20+B20)/2*C22/10000*12*C24,2)*0.78</f>
        <v>4.7736000000000001</v>
      </c>
      <c r="D28" s="3">
        <f t="shared" si="0"/>
        <v>6.1151999999999997</v>
      </c>
      <c r="E28" s="3">
        <f t="shared" si="0"/>
        <v>7.5659999999999998</v>
      </c>
      <c r="F28" s="3">
        <f t="shared" si="0"/>
        <v>9.0714000000000006</v>
      </c>
      <c r="G28" s="3">
        <f t="shared" si="0"/>
        <v>10.8108</v>
      </c>
      <c r="H28" s="3">
        <f t="shared" si="0"/>
        <v>13.439400000000001</v>
      </c>
    </row>
    <row r="29" spans="1:8" x14ac:dyDescent="0.2">
      <c r="A29" s="3" t="s">
        <v>31</v>
      </c>
      <c r="B29" s="3">
        <f t="shared" ref="B29:H29" si="1">B28-B27</f>
        <v>-0.21999999999999975</v>
      </c>
      <c r="C29" s="3">
        <f t="shared" si="1"/>
        <v>1.0895999999999999</v>
      </c>
      <c r="D29" s="3">
        <f t="shared" si="1"/>
        <v>1.9135999999999997</v>
      </c>
      <c r="E29" s="3">
        <f t="shared" si="1"/>
        <v>3.3224799999999997</v>
      </c>
      <c r="F29" s="3">
        <f t="shared" si="1"/>
        <v>4.7183500000000009</v>
      </c>
      <c r="G29" s="3">
        <f t="shared" si="1"/>
        <v>6.3465600000000002</v>
      </c>
      <c r="H29" s="3">
        <f t="shared" si="1"/>
        <v>8.8622950000000014</v>
      </c>
    </row>
    <row r="30" spans="1:8" x14ac:dyDescent="0.2">
      <c r="A30" s="3" t="s">
        <v>32</v>
      </c>
      <c r="B30" s="3">
        <f>B20*B22*12/10000</f>
        <v>43.5456</v>
      </c>
      <c r="C30" s="3">
        <f>AVERAGE(B20,C20)*C22*12/10000</f>
        <v>51.849360000000004</v>
      </c>
      <c r="D30" s="3">
        <f>AVERAGE(C20,D20)*D22*12/10000</f>
        <v>65.844000000000008</v>
      </c>
      <c r="E30" s="3">
        <f>AVERAGE(D20,E20)*E22*12/10000</f>
        <v>80.128799999999998</v>
      </c>
      <c r="F30" s="3">
        <f>AVERAGE(E20,F20)*F22*12/10000</f>
        <v>94.525199999999998</v>
      </c>
      <c r="G30" s="3">
        <f>G20*G22*12/10000</f>
        <v>116.51040000000002</v>
      </c>
      <c r="H30" s="3">
        <f>H20*H22*12/10000</f>
        <v>131.46480000000003</v>
      </c>
    </row>
    <row r="35" spans="5:5" x14ac:dyDescent="0.2">
      <c r="E35" s="1">
        <f>892899-444236-28724</f>
        <v>419939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2"/>
  <sheetViews>
    <sheetView tabSelected="1" workbookViewId="0">
      <pane xSplit="1" ySplit="15" topLeftCell="B16" activePane="bottomRight" state="frozen"/>
      <selection pane="topRight"/>
      <selection pane="bottomLeft"/>
      <selection pane="bottomRight" activeCell="H35" sqref="H35"/>
    </sheetView>
  </sheetViews>
  <sheetFormatPr defaultRowHeight="14.25" x14ac:dyDescent="0.2"/>
  <cols>
    <col min="1" max="1" width="34" style="22" customWidth="1"/>
    <col min="2" max="8" width="12" style="22" customWidth="1"/>
    <col min="9" max="9" width="3" style="22" customWidth="1"/>
    <col min="11" max="11" width="22" style="22" customWidth="1"/>
    <col min="12" max="14" width="14" style="22" customWidth="1"/>
  </cols>
  <sheetData>
    <row r="1" spans="1:14" ht="18" customHeight="1" x14ac:dyDescent="0.25">
      <c r="A1" s="11" t="s">
        <v>44</v>
      </c>
    </row>
    <row r="2" spans="1:14" x14ac:dyDescent="0.2">
      <c r="A2" s="48" t="s">
        <v>45</v>
      </c>
      <c r="B2" s="49"/>
      <c r="C2" s="49"/>
      <c r="D2" s="49"/>
      <c r="E2" s="49"/>
      <c r="F2" s="49"/>
      <c r="G2" s="49"/>
      <c r="H2" s="49"/>
      <c r="I2" s="49"/>
      <c r="J2" s="50"/>
      <c r="K2" s="49"/>
      <c r="L2" s="49"/>
      <c r="M2" s="49"/>
      <c r="N2" s="49"/>
    </row>
    <row r="3" spans="1:14" x14ac:dyDescent="0.2">
      <c r="A3" s="49"/>
      <c r="B3" s="49"/>
      <c r="C3" s="49"/>
      <c r="D3" s="49"/>
      <c r="E3" s="49"/>
      <c r="F3" s="49"/>
      <c r="G3" s="49"/>
      <c r="H3" s="49"/>
      <c r="I3" s="49"/>
      <c r="J3" s="50"/>
      <c r="K3" s="49"/>
      <c r="L3" s="49"/>
      <c r="M3" s="49"/>
      <c r="N3" s="49"/>
    </row>
    <row r="5" spans="1:14" x14ac:dyDescent="0.2">
      <c r="A5" s="12" t="s">
        <v>46</v>
      </c>
      <c r="K5" s="12" t="s">
        <v>47</v>
      </c>
    </row>
    <row r="6" spans="1:14" x14ac:dyDescent="0.2">
      <c r="A6" s="13" t="s">
        <v>48</v>
      </c>
      <c r="B6" s="25">
        <v>0.105</v>
      </c>
      <c r="K6" s="13" t="s">
        <v>49</v>
      </c>
      <c r="L6" s="14">
        <f>SUM(D32:H32)+H35</f>
        <v>71.907138335914937</v>
      </c>
    </row>
    <row r="7" spans="1:14" x14ac:dyDescent="0.2">
      <c r="A7" s="13" t="s">
        <v>7</v>
      </c>
      <c r="B7" s="25">
        <v>2.5000000000000001E-2</v>
      </c>
      <c r="K7" s="13" t="s">
        <v>50</v>
      </c>
      <c r="L7" s="14">
        <f>L6+$B$8</f>
        <v>79.924138335914932</v>
      </c>
    </row>
    <row r="8" spans="1:14" x14ac:dyDescent="0.2">
      <c r="A8" s="13" t="s">
        <v>51</v>
      </c>
      <c r="B8" s="15">
        <v>8.0169999999999995</v>
      </c>
      <c r="K8" s="13" t="s">
        <v>52</v>
      </c>
      <c r="L8" s="14">
        <f>L7/$B$9</f>
        <v>61.046675019603079</v>
      </c>
    </row>
    <row r="9" spans="1:14" x14ac:dyDescent="0.2">
      <c r="A9" s="13" t="s">
        <v>53</v>
      </c>
      <c r="B9" s="26">
        <v>1.3092299999999999</v>
      </c>
      <c r="K9" s="13" t="s">
        <v>54</v>
      </c>
      <c r="L9" s="14">
        <f>L8/$B$10</f>
        <v>68.59176968494728</v>
      </c>
    </row>
    <row r="10" spans="1:14" x14ac:dyDescent="0.2">
      <c r="A10" s="13" t="s">
        <v>55</v>
      </c>
      <c r="B10" s="15">
        <v>0.89</v>
      </c>
    </row>
    <row r="15" spans="1:14" x14ac:dyDescent="0.2">
      <c r="B15" s="16" t="s">
        <v>56</v>
      </c>
      <c r="C15" s="16" t="s">
        <v>57</v>
      </c>
      <c r="D15" s="16" t="s">
        <v>58</v>
      </c>
      <c r="E15" s="16" t="s">
        <v>59</v>
      </c>
      <c r="F15" s="16" t="s">
        <v>60</v>
      </c>
      <c r="G15" s="16" t="s">
        <v>61</v>
      </c>
      <c r="H15" s="16" t="s">
        <v>62</v>
      </c>
    </row>
    <row r="16" spans="1:14" x14ac:dyDescent="0.2">
      <c r="A16" s="13" t="s">
        <v>63</v>
      </c>
      <c r="B16" s="17">
        <v>1008</v>
      </c>
      <c r="C16" s="17">
        <v>1315</v>
      </c>
      <c r="D16" s="18">
        <v>1665</v>
      </c>
      <c r="E16" s="18">
        <v>2015</v>
      </c>
      <c r="F16" s="18">
        <v>2355</v>
      </c>
      <c r="G16" s="18">
        <v>2685</v>
      </c>
      <c r="H16" s="18">
        <v>3000</v>
      </c>
    </row>
    <row r="17" spans="1:14" x14ac:dyDescent="0.2">
      <c r="A17" s="13" t="s">
        <v>64</v>
      </c>
      <c r="B17" s="17">
        <v>240</v>
      </c>
      <c r="C17" s="17">
        <v>307</v>
      </c>
      <c r="D17" s="18">
        <v>350</v>
      </c>
      <c r="E17" s="18">
        <v>350</v>
      </c>
      <c r="F17" s="18">
        <v>340</v>
      </c>
      <c r="G17" s="18">
        <v>330</v>
      </c>
      <c r="H17" s="18">
        <v>315</v>
      </c>
    </row>
    <row r="18" spans="1:14" x14ac:dyDescent="0.2">
      <c r="A18" s="13" t="s">
        <v>65</v>
      </c>
      <c r="B18" s="17">
        <f>(768+1008)/2</f>
        <v>888</v>
      </c>
      <c r="C18" s="17">
        <f t="shared" ref="C18:H18" si="0">AVERAGE(B16,C16)</f>
        <v>1161.5</v>
      </c>
      <c r="D18" s="18">
        <f t="shared" si="0"/>
        <v>1490</v>
      </c>
      <c r="E18" s="18">
        <f t="shared" si="0"/>
        <v>1840</v>
      </c>
      <c r="F18" s="18">
        <f t="shared" si="0"/>
        <v>2185</v>
      </c>
      <c r="G18" s="18">
        <f t="shared" si="0"/>
        <v>2520</v>
      </c>
      <c r="H18" s="18">
        <f t="shared" si="0"/>
        <v>2842.5</v>
      </c>
    </row>
    <row r="19" spans="1:14" x14ac:dyDescent="0.2">
      <c r="A19" s="13" t="s">
        <v>66</v>
      </c>
      <c r="B19" s="17">
        <f>B20/B18*10000/12</f>
        <v>40.485106981981978</v>
      </c>
      <c r="C19" s="17">
        <f>C20/C18*10000/12</f>
        <v>38.614198593772421</v>
      </c>
      <c r="D19" s="18">
        <v>38.200000000000003</v>
      </c>
      <c r="E19" s="18">
        <v>38.5</v>
      </c>
      <c r="F19" s="18">
        <v>38.799999999999997</v>
      </c>
      <c r="G19" s="18">
        <v>39.200000000000003</v>
      </c>
      <c r="H19" s="18">
        <v>39.6</v>
      </c>
    </row>
    <row r="20" spans="1:14" x14ac:dyDescent="0.2">
      <c r="A20" s="13" t="s">
        <v>67</v>
      </c>
      <c r="B20" s="17">
        <v>43.140929999999997</v>
      </c>
      <c r="C20" s="17">
        <v>53.82047</v>
      </c>
      <c r="D20" s="18">
        <f>D18*D19*12/10000</f>
        <v>68.301600000000008</v>
      </c>
      <c r="E20" s="18">
        <f>E18*E19*12/10000</f>
        <v>85.007999999999996</v>
      </c>
      <c r="F20" s="18">
        <f>F18*F19*12/10000</f>
        <v>101.7336</v>
      </c>
      <c r="G20" s="18">
        <f>G18*G19*12/10000</f>
        <v>118.5408</v>
      </c>
      <c r="H20" s="18">
        <f>H18*H19*12/10000</f>
        <v>135.07560000000001</v>
      </c>
      <c r="K20" s="12" t="s">
        <v>68</v>
      </c>
    </row>
    <row r="21" spans="1:14" x14ac:dyDescent="0.2">
      <c r="A21" s="13" t="s">
        <v>69</v>
      </c>
      <c r="B21" s="27">
        <f>(8.18421-2.85213-0.68092)/43.14093</f>
        <v>0.10781316026335086</v>
      </c>
      <c r="C21" s="27">
        <f>(8.92899-3.70212-0.74024)/53.82047</f>
        <v>8.3362891479765985E-2</v>
      </c>
      <c r="D21" s="28">
        <v>8.7999999999999995E-2</v>
      </c>
      <c r="E21" s="28">
        <v>9.1999999999999998E-2</v>
      </c>
      <c r="F21" s="28">
        <v>9.6000000000000002E-2</v>
      </c>
      <c r="G21" s="28">
        <v>0.1</v>
      </c>
      <c r="H21" s="28">
        <v>0.104</v>
      </c>
      <c r="L21" s="29">
        <v>0.1</v>
      </c>
      <c r="M21" s="29">
        <v>0.105</v>
      </c>
      <c r="N21" s="29">
        <v>0.11</v>
      </c>
    </row>
    <row r="22" spans="1:14" x14ac:dyDescent="0.2">
      <c r="A22" s="13" t="s">
        <v>70</v>
      </c>
      <c r="B22" s="17">
        <f t="shared" ref="B22:H22" si="1">B20*B21</f>
        <v>4.6511600000000008</v>
      </c>
      <c r="C22" s="17">
        <f t="shared" si="1"/>
        <v>4.4866300000000008</v>
      </c>
      <c r="D22" s="18">
        <f t="shared" si="1"/>
        <v>6.0105408000000002</v>
      </c>
      <c r="E22" s="18">
        <f t="shared" si="1"/>
        <v>7.8207359999999992</v>
      </c>
      <c r="F22" s="18">
        <f t="shared" si="1"/>
        <v>9.7664255999999998</v>
      </c>
      <c r="G22" s="18">
        <f t="shared" si="1"/>
        <v>11.854080000000002</v>
      </c>
      <c r="H22" s="18">
        <f t="shared" si="1"/>
        <v>14.0478624</v>
      </c>
      <c r="K22" s="29">
        <v>1.4999999999999999E-2</v>
      </c>
      <c r="L22" s="14">
        <f>(((D29/(1+L$21)^1)+(E29/(1+L$21)^2)+(F29/(1+L$21)^3)+(G29/(1+L$21)^4)+(H29/(1+L$21)^5)+((H29*(1+$K22)/(L$21-$K22))/(1+L$21)^5))+$B$8)/$B$9/$B$10</f>
        <v>66.339221264226751</v>
      </c>
      <c r="M22" s="14">
        <f>(((D29/(1+M$21)^1)+(E29/(1+M$21)^2)+(F29/(1+M$21)^3)+(G29/(1+M$21)^4)+(H29/(1+M$21)^5)+((H29*(1+$K22)/(M$21-$K22))/(1+M$21)^5))+$B$8)/$B$9/$B$10</f>
        <v>62.335279462401147</v>
      </c>
      <c r="N22" s="14">
        <f>(((D29/(1+N$21)^1)+(E29/(1+N$21)^2)+(F29/(1+N$21)^3)+(G29/(1+N$21)^4)+(H29/(1+N$21)^5)+((H29*(1+$K22)/(N$21-$K22))/(1+N$21)^5))+$B$8)/$B$9/$B$10</f>
        <v>58.764645503899857</v>
      </c>
    </row>
    <row r="23" spans="1:14" x14ac:dyDescent="0.2">
      <c r="A23" s="13" t="s">
        <v>71</v>
      </c>
      <c r="B23" s="17"/>
      <c r="C23" s="17"/>
      <c r="D23" s="15">
        <v>1.42</v>
      </c>
      <c r="E23" s="15">
        <v>1.41</v>
      </c>
      <c r="F23" s="15">
        <v>1.4</v>
      </c>
      <c r="G23" s="15">
        <v>1.39</v>
      </c>
      <c r="H23" s="15">
        <v>1.38</v>
      </c>
      <c r="K23" s="29">
        <v>0.02</v>
      </c>
      <c r="L23" s="14">
        <f>(((D29/(1+L$21)^1)+(E29/(1+L$21)^2)+(F29/(1+L$21)^3)+(G29/(1+L$21)^4)+(H29/(1+L$21)^5)+((H29*(1+$K23)/(L$21-$K23))/(1+L$21)^5))+$B$8)/$B$9/$B$10</f>
        <v>69.712115550722118</v>
      </c>
      <c r="M23" s="14">
        <f>(((D29/(1+M$21)^1)+(E29/(1+M$21)^2)+(F29/(1+M$21)^3)+(G29/(1+M$21)^4)+(H29/(1+M$21)^5)+((H29*(1+$K23)/(M$21-$K23))/(1+M$21)^5))+$B$8)/$B$9/$B$10</f>
        <v>65.279510155364036</v>
      </c>
      <c r="N23" s="14">
        <f>(((D29/(1+N$21)^1)+(E29/(1+N$21)^2)+(F29/(1+N$21)^3)+(G29/(1+N$21)^4)+(H29/(1+N$21)^5)+((H29*(1+$K23)/(N$21-$K23))/(1+N$21)^5))+$B$8)/$B$9/$B$10</f>
        <v>61.351811849326978</v>
      </c>
    </row>
    <row r="24" spans="1:14" x14ac:dyDescent="0.2">
      <c r="A24" s="13" t="s">
        <v>72</v>
      </c>
      <c r="B24" s="17"/>
      <c r="C24" s="17"/>
      <c r="D24" s="15">
        <v>4.4999999999999998E-2</v>
      </c>
      <c r="E24" s="15">
        <v>4.4999999999999998E-2</v>
      </c>
      <c r="F24" s="15">
        <v>4.4999999999999998E-2</v>
      </c>
      <c r="G24" s="15">
        <v>4.4999999999999998E-2</v>
      </c>
      <c r="H24" s="15">
        <v>4.4999999999999998E-2</v>
      </c>
      <c r="K24" s="29">
        <v>2.5000000000000001E-2</v>
      </c>
      <c r="L24" s="14">
        <f>(((D29/(1+L$21)^1)+(E29/(1+L$21)^2)+(F29/(1+L$21)^3)+(G29/(1+L$21)^4)+(H29/(1+L$21)^5)+((H29*(1+$K24)/(L$21-$K24))/(1+L$21)^5))+$B$8)/$B$9/$B$10</f>
        <v>73.534729075416834</v>
      </c>
      <c r="M24" s="14">
        <f>(((D29/(1+M$21)^1)+(E29/(1+M$21)^2)+(F29/(1+M$21)^3)+(G29/(1+M$21)^4)+(H29/(1+M$21)^5)+((H29*(1+$K24)/(M$21-$K24))/(1+M$21)^5))+$B$8)/$B$9/$B$10</f>
        <v>68.59176968494728</v>
      </c>
      <c r="N24" s="14">
        <f>(((D29/(1+N$21)^1)+(E29/(1+N$21)^2)+(F29/(1+N$21)^3)+(G29/(1+N$21)^4)+(H29/(1+N$21)^5)+((H29*(1+$K24)/(N$21-$K24))/(1+N$21)^5))+$B$8)/$B$9/$B$10</f>
        <v>64.243350705980831</v>
      </c>
    </row>
    <row r="25" spans="1:14" x14ac:dyDescent="0.2">
      <c r="A25" s="13" t="s">
        <v>73</v>
      </c>
      <c r="B25" s="17"/>
      <c r="C25" s="17"/>
      <c r="D25" s="15">
        <v>0.34</v>
      </c>
      <c r="E25" s="15">
        <v>0.35</v>
      </c>
      <c r="F25" s="15">
        <v>0.36</v>
      </c>
      <c r="G25" s="15">
        <v>0.38</v>
      </c>
      <c r="H25" s="15">
        <v>0.4</v>
      </c>
    </row>
    <row r="26" spans="1:14" x14ac:dyDescent="0.2">
      <c r="A26" s="13" t="s">
        <v>74</v>
      </c>
      <c r="B26" s="17"/>
      <c r="C26" s="17"/>
      <c r="D26" s="15">
        <v>0.9</v>
      </c>
      <c r="E26" s="15">
        <v>0.95</v>
      </c>
      <c r="F26" s="15">
        <v>1</v>
      </c>
      <c r="G26" s="15">
        <v>1.03</v>
      </c>
      <c r="H26" s="15">
        <v>1.05</v>
      </c>
    </row>
    <row r="27" spans="1:14" x14ac:dyDescent="0.2">
      <c r="A27" s="13" t="s">
        <v>75</v>
      </c>
      <c r="B27" s="17">
        <v>4.1624499999999998</v>
      </c>
      <c r="C27" s="17">
        <v>5.0602799999999997</v>
      </c>
      <c r="D27" s="18">
        <f>D17*D23/100+D17*D24/100+D25+D26</f>
        <v>6.3674999999999997</v>
      </c>
      <c r="E27" s="18">
        <f>E17*E23/100+E17*E24/100+E25+E26</f>
        <v>6.3924999999999992</v>
      </c>
      <c r="F27" s="18">
        <f>F17*F23/100+F17*F24/100+F25+F26</f>
        <v>6.2729999999999997</v>
      </c>
      <c r="G27" s="18">
        <f>G17*G23/100+G17*G24/100+G25+G26</f>
        <v>6.1455000000000002</v>
      </c>
      <c r="H27" s="18">
        <f>H17*H23/100+H17*H24/100+H25+H26</f>
        <v>5.9387499999999998</v>
      </c>
    </row>
    <row r="28" spans="1:14" x14ac:dyDescent="0.2">
      <c r="A28" s="13" t="s">
        <v>76</v>
      </c>
      <c r="B28" s="17">
        <v>0.24607999999999999</v>
      </c>
      <c r="C28" s="17">
        <v>0.28724</v>
      </c>
      <c r="D28" s="18">
        <f>D17*0.09/100</f>
        <v>0.315</v>
      </c>
      <c r="E28" s="18">
        <f>E17*0.09/100</f>
        <v>0.315</v>
      </c>
      <c r="F28" s="18">
        <f>F17*0.09/100</f>
        <v>0.30599999999999999</v>
      </c>
      <c r="G28" s="18">
        <f>G17*0.09/100</f>
        <v>0.29699999999999999</v>
      </c>
      <c r="H28" s="18">
        <f>H17*0.09/100</f>
        <v>0.28349999999999997</v>
      </c>
    </row>
    <row r="29" spans="1:14" x14ac:dyDescent="0.2">
      <c r="A29" s="13" t="s">
        <v>77</v>
      </c>
      <c r="B29" s="17">
        <f t="shared" ref="B29:H29" si="2">B22-B27-B28</f>
        <v>0.24263000000000109</v>
      </c>
      <c r="C29" s="17">
        <f t="shared" si="2"/>
        <v>-0.86088999999999882</v>
      </c>
      <c r="D29" s="18">
        <f t="shared" si="2"/>
        <v>-0.67195919999999942</v>
      </c>
      <c r="E29" s="18">
        <f t="shared" si="2"/>
        <v>1.1132360000000001</v>
      </c>
      <c r="F29" s="18">
        <f t="shared" si="2"/>
        <v>3.1874256000000001</v>
      </c>
      <c r="G29" s="18">
        <f t="shared" si="2"/>
        <v>5.4115800000000016</v>
      </c>
      <c r="H29" s="18">
        <f t="shared" si="2"/>
        <v>7.8256124000000007</v>
      </c>
    </row>
    <row r="30" spans="1:14" x14ac:dyDescent="0.2">
      <c r="B30" s="17"/>
      <c r="C30" s="17"/>
      <c r="D30" s="18"/>
      <c r="E30" s="18"/>
      <c r="F30" s="18"/>
      <c r="G30" s="18"/>
      <c r="H30" s="18"/>
    </row>
    <row r="31" spans="1:14" x14ac:dyDescent="0.2">
      <c r="A31" s="13" t="s">
        <v>78</v>
      </c>
      <c r="B31" s="17"/>
      <c r="C31" s="17"/>
      <c r="D31" s="19">
        <v>1</v>
      </c>
      <c r="E31" s="19">
        <v>2</v>
      </c>
      <c r="F31" s="19">
        <v>3</v>
      </c>
      <c r="G31" s="19">
        <v>4</v>
      </c>
      <c r="H31" s="19">
        <v>5</v>
      </c>
    </row>
    <row r="32" spans="1:14" x14ac:dyDescent="0.2">
      <c r="A32" s="13" t="s">
        <v>79</v>
      </c>
      <c r="B32" s="17"/>
      <c r="C32" s="17"/>
      <c r="D32" s="18">
        <f>D29/((1+$B$6)^1)</f>
        <v>-0.60810787330316696</v>
      </c>
      <c r="E32" s="18">
        <f>E29/((1+$B$6)^2)</f>
        <v>0.91172252820376332</v>
      </c>
      <c r="F32" s="18">
        <f>F29/((1+$B$6)^3)</f>
        <v>2.362398848753009</v>
      </c>
      <c r="G32" s="18">
        <f>G29/((1+$B$6)^4)</f>
        <v>3.6297354328082228</v>
      </c>
      <c r="H32" s="18">
        <f>H29/((1+$B$6)^5)</f>
        <v>4.750145838874432</v>
      </c>
    </row>
    <row r="33" spans="1:14" x14ac:dyDescent="0.2">
      <c r="A33" s="13" t="s">
        <v>80</v>
      </c>
      <c r="B33" s="17"/>
      <c r="C33" s="17"/>
      <c r="D33" s="18"/>
      <c r="E33" s="18"/>
      <c r="F33" s="18"/>
      <c r="G33" s="18"/>
      <c r="H33" s="18">
        <f>H29*(1+$B$7)</f>
        <v>8.0212527100000006</v>
      </c>
    </row>
    <row r="34" spans="1:14" x14ac:dyDescent="0.2">
      <c r="A34" s="13" t="s">
        <v>81</v>
      </c>
      <c r="B34" s="17"/>
      <c r="C34" s="17"/>
      <c r="D34" s="18"/>
      <c r="E34" s="18"/>
      <c r="F34" s="18"/>
      <c r="G34" s="18"/>
      <c r="H34" s="18">
        <f>H33/($B$6-$B$7)</f>
        <v>100.26565887500003</v>
      </c>
    </row>
    <row r="35" spans="1:14" x14ac:dyDescent="0.2">
      <c r="A35" s="13" t="s">
        <v>82</v>
      </c>
      <c r="B35" s="17"/>
      <c r="C35" s="17"/>
      <c r="D35" s="18"/>
      <c r="E35" s="18"/>
      <c r="F35" s="18"/>
      <c r="G35" s="18"/>
      <c r="H35" s="18">
        <f>H34/((1+$B$6)^5)</f>
        <v>60.861243560578671</v>
      </c>
    </row>
    <row r="37" spans="1:14" x14ac:dyDescent="0.2">
      <c r="A37" s="12" t="s">
        <v>83</v>
      </c>
      <c r="K37" s="12" t="s">
        <v>84</v>
      </c>
    </row>
    <row r="38" spans="1:14" ht="99.75" customHeight="1" x14ac:dyDescent="0.2">
      <c r="A38" s="20" t="s">
        <v>85</v>
      </c>
      <c r="B38" s="21" t="s">
        <v>86</v>
      </c>
      <c r="K38" s="45" t="s">
        <v>87</v>
      </c>
      <c r="L38" s="46"/>
      <c r="M38" s="46"/>
      <c r="N38" s="47"/>
    </row>
    <row r="39" spans="1:14" ht="99.75" customHeight="1" x14ac:dyDescent="0.2">
      <c r="A39" s="20" t="s">
        <v>88</v>
      </c>
      <c r="B39" s="21" t="s">
        <v>89</v>
      </c>
      <c r="K39" s="45" t="s">
        <v>90</v>
      </c>
      <c r="L39" s="46"/>
      <c r="M39" s="46"/>
      <c r="N39" s="47"/>
    </row>
    <row r="40" spans="1:14" ht="99.75" customHeight="1" x14ac:dyDescent="0.2">
      <c r="A40" s="20" t="s">
        <v>91</v>
      </c>
      <c r="B40" s="21" t="s">
        <v>92</v>
      </c>
      <c r="K40" s="45" t="s">
        <v>93</v>
      </c>
      <c r="L40" s="46"/>
      <c r="M40" s="46"/>
      <c r="N40" s="47"/>
    </row>
    <row r="41" spans="1:14" ht="99.75" customHeight="1" x14ac:dyDescent="0.2">
      <c r="A41" s="20" t="s">
        <v>94</v>
      </c>
      <c r="B41" s="21" t="s">
        <v>95</v>
      </c>
      <c r="K41" s="45" t="s">
        <v>96</v>
      </c>
      <c r="L41" s="46"/>
      <c r="M41" s="46"/>
      <c r="N41" s="47"/>
    </row>
    <row r="42" spans="1:14" ht="99.75" customHeight="1" x14ac:dyDescent="0.2">
      <c r="A42" s="20" t="s">
        <v>97</v>
      </c>
      <c r="B42" s="21" t="s">
        <v>98</v>
      </c>
    </row>
  </sheetData>
  <mergeCells count="5">
    <mergeCell ref="K40:N40"/>
    <mergeCell ref="K39:N39"/>
    <mergeCell ref="A2:N3"/>
    <mergeCell ref="K38:N38"/>
    <mergeCell ref="K41:N41"/>
  </mergeCells>
  <phoneticPr fontId="1" type="noConversion"/>
  <pageMargins left="0.75" right="0.75" top="1" bottom="1" header="0.5" footer="0.5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"/>
  <sheetViews>
    <sheetView workbookViewId="0">
      <pane xSplit="1" ySplit="15" topLeftCell="B16" activePane="bottomRight" state="frozen"/>
      <selection pane="topRight"/>
      <selection pane="bottomLeft"/>
      <selection pane="bottomRight" activeCell="N27" sqref="N27"/>
    </sheetView>
  </sheetViews>
  <sheetFormatPr defaultRowHeight="14.25" x14ac:dyDescent="0.2"/>
  <cols>
    <col min="1" max="1" width="34" style="22" customWidth="1"/>
    <col min="2" max="11" width="11" style="22" customWidth="1"/>
    <col min="12" max="12" width="3" style="22" customWidth="1"/>
    <col min="13" max="13" width="22" style="22" customWidth="1"/>
    <col min="14" max="14" width="14" style="22" customWidth="1"/>
  </cols>
  <sheetData>
    <row r="1" spans="1:14" ht="18" x14ac:dyDescent="0.25">
      <c r="A1" s="30" t="s">
        <v>99</v>
      </c>
    </row>
    <row r="2" spans="1:14" x14ac:dyDescent="0.2">
      <c r="A2" s="48" t="s">
        <v>100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5" spans="1:14" x14ac:dyDescent="0.2">
      <c r="A5" s="31" t="s">
        <v>46</v>
      </c>
      <c r="M5" s="31" t="s">
        <v>47</v>
      </c>
    </row>
    <row r="6" spans="1:14" x14ac:dyDescent="0.2">
      <c r="A6" s="32" t="s">
        <v>48</v>
      </c>
      <c r="B6" s="33">
        <v>0.105</v>
      </c>
      <c r="M6" s="32" t="s">
        <v>49</v>
      </c>
      <c r="N6" s="34">
        <f>SUM(D32:K32)+K35</f>
        <v>102.71081510283494</v>
      </c>
    </row>
    <row r="7" spans="1:14" x14ac:dyDescent="0.2">
      <c r="A7" s="32" t="s">
        <v>7</v>
      </c>
      <c r="B7" s="33">
        <v>0.02</v>
      </c>
      <c r="M7" s="32" t="s">
        <v>50</v>
      </c>
      <c r="N7" s="34">
        <f>N6+$B$8</f>
        <v>110.72781510283494</v>
      </c>
    </row>
    <row r="8" spans="1:14" x14ac:dyDescent="0.2">
      <c r="A8" s="32" t="s">
        <v>51</v>
      </c>
      <c r="B8" s="35">
        <v>8.0169999999999995</v>
      </c>
      <c r="M8" s="32" t="s">
        <v>52</v>
      </c>
      <c r="N8" s="34">
        <f>N7/$B$9</f>
        <v>84.574761579581093</v>
      </c>
    </row>
    <row r="9" spans="1:14" x14ac:dyDescent="0.2">
      <c r="A9" s="32" t="s">
        <v>53</v>
      </c>
      <c r="B9" s="36">
        <v>1.3092299999999999</v>
      </c>
      <c r="M9" s="32" t="s">
        <v>54</v>
      </c>
      <c r="N9" s="34">
        <f>N8/$B$10</f>
        <v>95.027821999529323</v>
      </c>
    </row>
    <row r="10" spans="1:14" x14ac:dyDescent="0.2">
      <c r="A10" s="32" t="s">
        <v>55</v>
      </c>
      <c r="B10" s="35">
        <v>0.89</v>
      </c>
    </row>
    <row r="15" spans="1:14" x14ac:dyDescent="0.2">
      <c r="B15" s="37" t="s">
        <v>56</v>
      </c>
      <c r="C15" s="37" t="s">
        <v>57</v>
      </c>
      <c r="D15" s="37" t="s">
        <v>58</v>
      </c>
      <c r="E15" s="37" t="s">
        <v>59</v>
      </c>
      <c r="F15" s="37" t="s">
        <v>60</v>
      </c>
      <c r="G15" s="37" t="s">
        <v>61</v>
      </c>
      <c r="H15" s="37" t="s">
        <v>62</v>
      </c>
      <c r="I15" s="37" t="s">
        <v>101</v>
      </c>
      <c r="J15" s="37" t="s">
        <v>102</v>
      </c>
      <c r="K15" s="37" t="s">
        <v>103</v>
      </c>
    </row>
    <row r="16" spans="1:14" x14ac:dyDescent="0.2">
      <c r="A16" s="32" t="s">
        <v>63</v>
      </c>
      <c r="B16" s="38">
        <v>1008</v>
      </c>
      <c r="C16" s="38">
        <v>1315</v>
      </c>
      <c r="D16" s="39">
        <v>1665</v>
      </c>
      <c r="E16" s="39">
        <v>2015</v>
      </c>
      <c r="F16" s="39">
        <v>2355</v>
      </c>
      <c r="G16" s="39">
        <v>2685</v>
      </c>
      <c r="H16" s="39">
        <v>3000</v>
      </c>
      <c r="I16" s="39">
        <v>3180</v>
      </c>
      <c r="J16" s="39">
        <v>3340</v>
      </c>
      <c r="K16" s="39">
        <v>3500</v>
      </c>
    </row>
    <row r="17" spans="1:11" x14ac:dyDescent="0.2">
      <c r="A17" s="32" t="s">
        <v>64</v>
      </c>
      <c r="B17" s="38">
        <v>240</v>
      </c>
      <c r="C17" s="38">
        <v>307</v>
      </c>
      <c r="D17" s="39">
        <v>350</v>
      </c>
      <c r="E17" s="39">
        <v>350</v>
      </c>
      <c r="F17" s="39">
        <v>340</v>
      </c>
      <c r="G17" s="39">
        <v>330</v>
      </c>
      <c r="H17" s="39">
        <v>315</v>
      </c>
      <c r="I17" s="39">
        <v>180</v>
      </c>
      <c r="J17" s="39">
        <v>160</v>
      </c>
      <c r="K17" s="39">
        <v>160</v>
      </c>
    </row>
    <row r="18" spans="1:11" x14ac:dyDescent="0.2">
      <c r="A18" s="32" t="s">
        <v>65</v>
      </c>
      <c r="B18" s="38">
        <f>(768+1008)/2</f>
        <v>888</v>
      </c>
      <c r="C18" s="38">
        <f t="shared" ref="C18:K18" si="0">AVERAGE(B16,C16)</f>
        <v>1161.5</v>
      </c>
      <c r="D18" s="39">
        <f t="shared" si="0"/>
        <v>1490</v>
      </c>
      <c r="E18" s="39">
        <f t="shared" si="0"/>
        <v>1840</v>
      </c>
      <c r="F18" s="39">
        <f t="shared" si="0"/>
        <v>2185</v>
      </c>
      <c r="G18" s="39">
        <f t="shared" si="0"/>
        <v>2520</v>
      </c>
      <c r="H18" s="39">
        <f t="shared" si="0"/>
        <v>2842.5</v>
      </c>
      <c r="I18" s="39">
        <f t="shared" si="0"/>
        <v>3090</v>
      </c>
      <c r="J18" s="39">
        <f t="shared" si="0"/>
        <v>3260</v>
      </c>
      <c r="K18" s="39">
        <f t="shared" si="0"/>
        <v>3420</v>
      </c>
    </row>
    <row r="19" spans="1:11" x14ac:dyDescent="0.2">
      <c r="A19" s="32" t="s">
        <v>66</v>
      </c>
      <c r="B19" s="38">
        <f>B20/B18*10000/12</f>
        <v>40.485106981981978</v>
      </c>
      <c r="C19" s="38">
        <f>C20/C18*10000/12</f>
        <v>38.614198593772421</v>
      </c>
      <c r="D19" s="39">
        <v>38.200000000000003</v>
      </c>
      <c r="E19" s="39">
        <v>38.5</v>
      </c>
      <c r="F19" s="39">
        <v>38.799999999999997</v>
      </c>
      <c r="G19" s="39">
        <v>39.200000000000003</v>
      </c>
      <c r="H19" s="39">
        <v>39.6</v>
      </c>
      <c r="I19" s="39">
        <v>39.799999999999997</v>
      </c>
      <c r="J19" s="39">
        <v>40</v>
      </c>
      <c r="K19" s="39">
        <v>40.200000000000003</v>
      </c>
    </row>
    <row r="20" spans="1:11" x14ac:dyDescent="0.2">
      <c r="A20" s="32" t="s">
        <v>67</v>
      </c>
      <c r="B20" s="38">
        <v>43.140929999999997</v>
      </c>
      <c r="C20" s="38">
        <v>53.82047</v>
      </c>
      <c r="D20" s="39">
        <f t="shared" ref="D20:K20" si="1">D18*D19*12/10000</f>
        <v>68.301600000000008</v>
      </c>
      <c r="E20" s="39">
        <f t="shared" si="1"/>
        <v>85.007999999999996</v>
      </c>
      <c r="F20" s="39">
        <f t="shared" si="1"/>
        <v>101.7336</v>
      </c>
      <c r="G20" s="39">
        <f t="shared" si="1"/>
        <v>118.5408</v>
      </c>
      <c r="H20" s="39">
        <f t="shared" si="1"/>
        <v>135.07560000000001</v>
      </c>
      <c r="I20" s="39">
        <f t="shared" si="1"/>
        <v>147.57839999999999</v>
      </c>
      <c r="J20" s="39">
        <f t="shared" si="1"/>
        <v>156.47999999999999</v>
      </c>
      <c r="K20" s="39">
        <f t="shared" si="1"/>
        <v>164.98079999999999</v>
      </c>
    </row>
    <row r="21" spans="1:11" x14ac:dyDescent="0.2">
      <c r="A21" s="32" t="s">
        <v>69</v>
      </c>
      <c r="B21" s="40">
        <f>(8.18421-2.85213-0.68092)/43.14093</f>
        <v>0.10781316026335086</v>
      </c>
      <c r="C21" s="40">
        <f>(8.92899-3.70212-0.74024)/53.82047</f>
        <v>8.3362891479765985E-2</v>
      </c>
      <c r="D21" s="41">
        <v>8.7999999999999995E-2</v>
      </c>
      <c r="E21" s="41">
        <v>9.1999999999999998E-2</v>
      </c>
      <c r="F21" s="41">
        <v>9.6000000000000002E-2</v>
      </c>
      <c r="G21" s="41">
        <v>0.1</v>
      </c>
      <c r="H21" s="41">
        <v>0.104</v>
      </c>
      <c r="I21" s="41">
        <v>0.104</v>
      </c>
      <c r="J21" s="41">
        <v>0.105</v>
      </c>
      <c r="K21" s="41">
        <v>0.106</v>
      </c>
    </row>
    <row r="22" spans="1:11" x14ac:dyDescent="0.2">
      <c r="A22" s="32" t="s">
        <v>70</v>
      </c>
      <c r="B22" s="38">
        <f t="shared" ref="B22:K22" si="2">B20*B21</f>
        <v>4.6511600000000008</v>
      </c>
      <c r="C22" s="38">
        <f t="shared" si="2"/>
        <v>4.4866300000000008</v>
      </c>
      <c r="D22" s="39">
        <f t="shared" si="2"/>
        <v>6.0105408000000002</v>
      </c>
      <c r="E22" s="39">
        <f t="shared" si="2"/>
        <v>7.8207359999999992</v>
      </c>
      <c r="F22" s="39">
        <f t="shared" si="2"/>
        <v>9.7664255999999998</v>
      </c>
      <c r="G22" s="39">
        <f t="shared" si="2"/>
        <v>11.854080000000002</v>
      </c>
      <c r="H22" s="39">
        <f t="shared" si="2"/>
        <v>14.0478624</v>
      </c>
      <c r="I22" s="39">
        <f t="shared" si="2"/>
        <v>15.348153599999998</v>
      </c>
      <c r="J22" s="39">
        <f t="shared" si="2"/>
        <v>16.430399999999999</v>
      </c>
      <c r="K22" s="39">
        <f t="shared" si="2"/>
        <v>17.487964799999997</v>
      </c>
    </row>
    <row r="23" spans="1:11" x14ac:dyDescent="0.2">
      <c r="A23" s="32" t="s">
        <v>71</v>
      </c>
      <c r="B23" s="38"/>
      <c r="C23" s="38"/>
      <c r="D23" s="35">
        <v>1.42</v>
      </c>
      <c r="E23" s="35">
        <v>1.41</v>
      </c>
      <c r="F23" s="35">
        <v>1.4</v>
      </c>
      <c r="G23" s="35">
        <v>1.39</v>
      </c>
      <c r="H23" s="35">
        <v>1.38</v>
      </c>
      <c r="I23" s="35">
        <v>1.37</v>
      </c>
      <c r="J23" s="35">
        <v>1.36</v>
      </c>
      <c r="K23" s="35">
        <v>1.35</v>
      </c>
    </row>
    <row r="24" spans="1:11" x14ac:dyDescent="0.2">
      <c r="A24" s="32" t="s">
        <v>72</v>
      </c>
      <c r="B24" s="38"/>
      <c r="C24" s="38"/>
      <c r="D24" s="35">
        <v>4.4999999999999998E-2</v>
      </c>
      <c r="E24" s="35">
        <v>4.4999999999999998E-2</v>
      </c>
      <c r="F24" s="35">
        <v>4.4999999999999998E-2</v>
      </c>
      <c r="G24" s="35">
        <v>4.4999999999999998E-2</v>
      </c>
      <c r="H24" s="35">
        <v>4.4999999999999998E-2</v>
      </c>
      <c r="I24" s="35">
        <v>4.4999999999999998E-2</v>
      </c>
      <c r="J24" s="35">
        <v>4.4999999999999998E-2</v>
      </c>
      <c r="K24" s="35">
        <v>4.4999999999999998E-2</v>
      </c>
    </row>
    <row r="25" spans="1:11" x14ac:dyDescent="0.2">
      <c r="A25" s="32" t="s">
        <v>73</v>
      </c>
      <c r="B25" s="38"/>
      <c r="C25" s="38"/>
      <c r="D25" s="35">
        <v>0.34</v>
      </c>
      <c r="E25" s="35">
        <v>0.35</v>
      </c>
      <c r="F25" s="35">
        <v>0.36</v>
      </c>
      <c r="G25" s="35">
        <v>0.38</v>
      </c>
      <c r="H25" s="35">
        <v>0.4</v>
      </c>
      <c r="I25" s="35">
        <v>0.41</v>
      </c>
      <c r="J25" s="35">
        <v>0.42</v>
      </c>
      <c r="K25" s="35">
        <v>0.43</v>
      </c>
    </row>
    <row r="26" spans="1:11" x14ac:dyDescent="0.2">
      <c r="A26" s="32" t="s">
        <v>74</v>
      </c>
      <c r="B26" s="38"/>
      <c r="C26" s="38"/>
      <c r="D26" s="35">
        <v>0.9</v>
      </c>
      <c r="E26" s="35">
        <v>0.95</v>
      </c>
      <c r="F26" s="35">
        <v>1</v>
      </c>
      <c r="G26" s="35">
        <v>1.03</v>
      </c>
      <c r="H26" s="35">
        <v>1.05</v>
      </c>
      <c r="I26" s="35">
        <v>1.08</v>
      </c>
      <c r="J26" s="35">
        <v>1.1000000000000001</v>
      </c>
      <c r="K26" s="35">
        <v>1.1200000000000001</v>
      </c>
    </row>
    <row r="27" spans="1:11" x14ac:dyDescent="0.2">
      <c r="A27" s="32" t="s">
        <v>75</v>
      </c>
      <c r="B27" s="38">
        <v>4.1624499999999998</v>
      </c>
      <c r="C27" s="38">
        <v>5.0602799999999997</v>
      </c>
      <c r="D27" s="39">
        <f t="shared" ref="D27:K27" si="3">D17*D23/100+D17*D24/100+D25+D26</f>
        <v>6.3674999999999997</v>
      </c>
      <c r="E27" s="39">
        <f t="shared" si="3"/>
        <v>6.3924999999999992</v>
      </c>
      <c r="F27" s="39">
        <f t="shared" si="3"/>
        <v>6.2729999999999997</v>
      </c>
      <c r="G27" s="39">
        <f t="shared" si="3"/>
        <v>6.1455000000000002</v>
      </c>
      <c r="H27" s="39">
        <f t="shared" si="3"/>
        <v>5.9387499999999998</v>
      </c>
      <c r="I27" s="39">
        <f t="shared" si="3"/>
        <v>4.0370000000000008</v>
      </c>
      <c r="J27" s="39">
        <f t="shared" si="3"/>
        <v>3.7680000000000002</v>
      </c>
      <c r="K27" s="39">
        <f t="shared" si="3"/>
        <v>3.7820000000000005</v>
      </c>
    </row>
    <row r="28" spans="1:11" x14ac:dyDescent="0.2">
      <c r="A28" s="32" t="s">
        <v>76</v>
      </c>
      <c r="B28" s="38">
        <v>0.24607999999999999</v>
      </c>
      <c r="C28" s="38">
        <v>0.28724</v>
      </c>
      <c r="D28" s="39">
        <f t="shared" ref="D28:K28" si="4">D17*0.09/100</f>
        <v>0.315</v>
      </c>
      <c r="E28" s="39">
        <f t="shared" si="4"/>
        <v>0.315</v>
      </c>
      <c r="F28" s="39">
        <f t="shared" si="4"/>
        <v>0.30599999999999999</v>
      </c>
      <c r="G28" s="39">
        <f t="shared" si="4"/>
        <v>0.29699999999999999</v>
      </c>
      <c r="H28" s="39">
        <f t="shared" si="4"/>
        <v>0.28349999999999997</v>
      </c>
      <c r="I28" s="39">
        <f t="shared" si="4"/>
        <v>0.16200000000000001</v>
      </c>
      <c r="J28" s="39">
        <f t="shared" si="4"/>
        <v>0.14399999999999999</v>
      </c>
      <c r="K28" s="39">
        <f t="shared" si="4"/>
        <v>0.14399999999999999</v>
      </c>
    </row>
    <row r="29" spans="1:11" x14ac:dyDescent="0.2">
      <c r="A29" s="32" t="s">
        <v>77</v>
      </c>
      <c r="B29" s="38">
        <f t="shared" ref="B29:K29" si="5">B22-B27-B28</f>
        <v>0.24263000000000109</v>
      </c>
      <c r="C29" s="38">
        <f t="shared" si="5"/>
        <v>-0.86088999999999882</v>
      </c>
      <c r="D29" s="39">
        <f t="shared" si="5"/>
        <v>-0.67195919999999942</v>
      </c>
      <c r="E29" s="39">
        <f t="shared" si="5"/>
        <v>1.1132360000000001</v>
      </c>
      <c r="F29" s="39">
        <f t="shared" si="5"/>
        <v>3.1874256000000001</v>
      </c>
      <c r="G29" s="39">
        <f t="shared" si="5"/>
        <v>5.4115800000000016</v>
      </c>
      <c r="H29" s="39">
        <f t="shared" si="5"/>
        <v>7.8256124000000007</v>
      </c>
      <c r="I29" s="39">
        <f t="shared" si="5"/>
        <v>11.149153599999996</v>
      </c>
      <c r="J29" s="39">
        <f t="shared" si="5"/>
        <v>12.518399999999998</v>
      </c>
      <c r="K29" s="39">
        <f t="shared" si="5"/>
        <v>13.561964799999997</v>
      </c>
    </row>
    <row r="30" spans="1:11" x14ac:dyDescent="0.2">
      <c r="B30" s="38"/>
      <c r="C30" s="38"/>
      <c r="D30" s="39"/>
      <c r="E30" s="39"/>
      <c r="F30" s="39"/>
      <c r="G30" s="39"/>
      <c r="H30" s="39"/>
      <c r="I30" s="39"/>
      <c r="J30" s="39"/>
      <c r="K30" s="39"/>
    </row>
    <row r="31" spans="1:11" x14ac:dyDescent="0.2">
      <c r="A31" s="32" t="s">
        <v>78</v>
      </c>
      <c r="B31" s="38"/>
      <c r="C31" s="38"/>
      <c r="D31" s="42">
        <v>1</v>
      </c>
      <c r="E31" s="42">
        <v>2</v>
      </c>
      <c r="F31" s="42">
        <v>3</v>
      </c>
      <c r="G31" s="42">
        <v>4</v>
      </c>
      <c r="H31" s="42">
        <v>5</v>
      </c>
      <c r="I31" s="42">
        <v>6</v>
      </c>
      <c r="J31" s="42">
        <v>7</v>
      </c>
      <c r="K31" s="42">
        <v>8</v>
      </c>
    </row>
    <row r="32" spans="1:11" x14ac:dyDescent="0.2">
      <c r="A32" s="32" t="s">
        <v>79</v>
      </c>
      <c r="B32" s="38"/>
      <c r="C32" s="38"/>
      <c r="D32" s="39">
        <f>D29/((1+$B$6)^1)</f>
        <v>-0.60810787330316696</v>
      </c>
      <c r="E32" s="39">
        <f>E29/((1+$B$6)^2)</f>
        <v>0.91172252820376332</v>
      </c>
      <c r="F32" s="39">
        <f>F29/((1+$B$6)^3)</f>
        <v>2.362398848753009</v>
      </c>
      <c r="G32" s="39">
        <f>G29/((1+$B$6)^4)</f>
        <v>3.6297354328082228</v>
      </c>
      <c r="H32" s="39">
        <f>H29/((1+$B$6)^5)</f>
        <v>4.750145838874432</v>
      </c>
      <c r="I32" s="39">
        <f>I29/((1+$B$6)^6)</f>
        <v>6.1244660363547787</v>
      </c>
      <c r="J32" s="39">
        <f>J29/((1+$B$6)^7)</f>
        <v>6.2231873873277026</v>
      </c>
      <c r="K32" s="39">
        <f>K29/((1+$B$6)^8)</f>
        <v>6.1013282233704755</v>
      </c>
    </row>
    <row r="33" spans="1:14" x14ac:dyDescent="0.2">
      <c r="A33" s="32" t="s">
        <v>80</v>
      </c>
      <c r="B33" s="38"/>
      <c r="C33" s="38"/>
      <c r="D33" s="39"/>
      <c r="E33" s="39"/>
      <c r="F33" s="39"/>
      <c r="G33" s="39"/>
      <c r="H33" s="39"/>
      <c r="I33" s="39"/>
      <c r="J33" s="39"/>
      <c r="K33" s="39">
        <f>K29*(1+$B$7)</f>
        <v>13.833204095999998</v>
      </c>
    </row>
    <row r="34" spans="1:14" x14ac:dyDescent="0.2">
      <c r="A34" s="32" t="s">
        <v>81</v>
      </c>
      <c r="B34" s="38"/>
      <c r="C34" s="38"/>
      <c r="D34" s="39"/>
      <c r="E34" s="39"/>
      <c r="F34" s="39"/>
      <c r="G34" s="39"/>
      <c r="H34" s="39"/>
      <c r="I34" s="39"/>
      <c r="J34" s="39"/>
      <c r="K34" s="39">
        <f>K33/($B$6-$B$7)</f>
        <v>162.74357759999998</v>
      </c>
    </row>
    <row r="35" spans="1:14" x14ac:dyDescent="0.2">
      <c r="A35" s="32" t="s">
        <v>82</v>
      </c>
      <c r="B35" s="38"/>
      <c r="C35" s="38"/>
      <c r="D35" s="39"/>
      <c r="E35" s="39"/>
      <c r="F35" s="39"/>
      <c r="G35" s="39"/>
      <c r="H35" s="39"/>
      <c r="I35" s="39"/>
      <c r="J35" s="39"/>
      <c r="K35" s="39">
        <f>K34/((1+$B$6)^8)</f>
        <v>73.215938680445717</v>
      </c>
    </row>
    <row r="37" spans="1:14" x14ac:dyDescent="0.2">
      <c r="A37" s="31" t="s">
        <v>83</v>
      </c>
      <c r="M37" s="31" t="s">
        <v>84</v>
      </c>
    </row>
    <row r="38" spans="1:14" ht="99.75" x14ac:dyDescent="0.2">
      <c r="A38" s="43" t="s">
        <v>85</v>
      </c>
      <c r="B38" s="44" t="s">
        <v>86</v>
      </c>
      <c r="M38" s="51" t="s">
        <v>104</v>
      </c>
      <c r="N38" s="49"/>
    </row>
    <row r="39" spans="1:14" ht="99.75" x14ac:dyDescent="0.2">
      <c r="A39" s="43" t="s">
        <v>91</v>
      </c>
      <c r="B39" s="44" t="s">
        <v>92</v>
      </c>
      <c r="M39" s="51" t="s">
        <v>105</v>
      </c>
      <c r="N39" s="49"/>
    </row>
    <row r="40" spans="1:14" ht="99.75" x14ac:dyDescent="0.2">
      <c r="A40" s="43" t="s">
        <v>97</v>
      </c>
      <c r="B40" s="44" t="s">
        <v>98</v>
      </c>
      <c r="M40" s="51" t="s">
        <v>106</v>
      </c>
      <c r="N40" s="49"/>
    </row>
    <row r="41" spans="1:14" x14ac:dyDescent="0.2">
      <c r="M41" s="51" t="s">
        <v>107</v>
      </c>
      <c r="N41" s="49"/>
    </row>
  </sheetData>
  <mergeCells count="5">
    <mergeCell ref="M38:N38"/>
    <mergeCell ref="A2:N3"/>
    <mergeCell ref="M41:N41"/>
    <mergeCell ref="M39:N39"/>
    <mergeCell ref="M40:N40"/>
  </mergeCells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chagee</vt:lpstr>
      <vt:lpstr>dml</vt:lpstr>
      <vt:lpstr>dml_revised_20260325</vt:lpstr>
      <vt:lpstr>dml_8yr_3500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初小宇</cp:lastModifiedBy>
  <dcterms:created xsi:type="dcterms:W3CDTF">2025-07-02T12:45:35Z</dcterms:created>
  <dcterms:modified xsi:type="dcterms:W3CDTF">2026-04-24T05:48:24Z</dcterms:modified>
</cp:coreProperties>
</file>