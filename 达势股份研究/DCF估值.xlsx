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xiaoyu\Downloads\"/>
    </mc:Choice>
  </mc:AlternateContent>
  <bookViews>
    <workbookView xWindow="0" yWindow="0" windowWidth="28800" windowHeight="10470" activeTab="1"/>
  </bookViews>
  <sheets>
    <sheet name="chagee" sheetId="2" r:id="rId1"/>
    <sheet name="dml" sheetId="4" r:id="rId2"/>
  </sheets>
  <calcPr calcId="162913"/>
</workbook>
</file>

<file path=xl/calcChain.xml><?xml version="1.0" encoding="utf-8"?>
<calcChain xmlns="http://schemas.openxmlformats.org/spreadsheetml/2006/main">
  <c r="C22" i="4" l="1"/>
  <c r="D22" i="4" s="1"/>
  <c r="E22" i="4" s="1"/>
  <c r="F22" i="4" s="1"/>
  <c r="G22" i="4" s="1"/>
  <c r="H22" i="4" s="1"/>
  <c r="E35" i="4"/>
  <c r="C28" i="4" l="1"/>
  <c r="B2" i="4"/>
  <c r="C23" i="2" l="1"/>
  <c r="D23" i="2" s="1"/>
  <c r="E23" i="2" s="1"/>
  <c r="F23" i="2" s="1"/>
  <c r="C21" i="2"/>
  <c r="D21" i="2"/>
  <c r="E21" i="2" s="1"/>
  <c r="F21" i="2" s="1"/>
  <c r="B2" i="2" l="1"/>
  <c r="D22" i="2"/>
  <c r="B34" i="2"/>
  <c r="B35" i="2" s="1"/>
  <c r="B24" i="2"/>
  <c r="B28" i="2" s="1"/>
  <c r="C22" i="2"/>
  <c r="E22" i="2" l="1"/>
  <c r="F22" i="2" s="1"/>
  <c r="B26" i="2"/>
  <c r="B27" i="2"/>
  <c r="B25" i="2"/>
  <c r="B32" i="2" s="1"/>
  <c r="B31" i="2"/>
  <c r="B3" i="2"/>
  <c r="B33" i="2" l="1"/>
  <c r="B5" i="2"/>
  <c r="C20" i="2"/>
  <c r="C34" i="2" s="1"/>
  <c r="C35" i="2" s="1"/>
  <c r="E21" i="4"/>
  <c r="F21" i="4" s="1"/>
  <c r="G21" i="4" s="1"/>
  <c r="H21" i="4" s="1"/>
  <c r="C24" i="2" l="1"/>
  <c r="B10" i="2"/>
  <c r="B11" i="2" s="1"/>
  <c r="D20" i="2"/>
  <c r="D34" i="2" s="1"/>
  <c r="D35" i="2" s="1"/>
  <c r="D26" i="4"/>
  <c r="E26" i="4" s="1"/>
  <c r="F26" i="4" s="1"/>
  <c r="G26" i="4" s="1"/>
  <c r="H26" i="4" s="1"/>
  <c r="C27" i="2" l="1"/>
  <c r="C26" i="2"/>
  <c r="C25" i="2"/>
  <c r="C28" i="2"/>
  <c r="C31" i="2"/>
  <c r="D24" i="2"/>
  <c r="D27" i="2" s="1"/>
  <c r="E20" i="2"/>
  <c r="E34" i="2" s="1"/>
  <c r="E35" i="2" s="1"/>
  <c r="D20" i="4"/>
  <c r="C32" i="2" l="1"/>
  <c r="D27" i="4"/>
  <c r="E20" i="4"/>
  <c r="C33" i="2"/>
  <c r="C10" i="2" s="1"/>
  <c r="C11" i="2" s="1"/>
  <c r="D25" i="2"/>
  <c r="D26" i="2"/>
  <c r="D28" i="2"/>
  <c r="D31" i="2"/>
  <c r="F20" i="2"/>
  <c r="F34" i="2" s="1"/>
  <c r="F35" i="2" s="1"/>
  <c r="E24" i="2"/>
  <c r="B30" i="4"/>
  <c r="E27" i="4" l="1"/>
  <c r="F20" i="4"/>
  <c r="D32" i="2"/>
  <c r="E26" i="2"/>
  <c r="E25" i="2"/>
  <c r="E27" i="2"/>
  <c r="E28" i="2"/>
  <c r="E31" i="2"/>
  <c r="F24" i="2"/>
  <c r="H24" i="4"/>
  <c r="B28" i="4"/>
  <c r="B29" i="4" s="1"/>
  <c r="C27" i="4"/>
  <c r="C29" i="4" s="1"/>
  <c r="E24" i="4"/>
  <c r="E28" i="4" s="1"/>
  <c r="F24" i="4"/>
  <c r="G24" i="4"/>
  <c r="D24" i="4"/>
  <c r="D28" i="4" s="1"/>
  <c r="C25" i="4"/>
  <c r="B25" i="4"/>
  <c r="G20" i="4" l="1"/>
  <c r="F28" i="4"/>
  <c r="F27" i="4"/>
  <c r="E32" i="2"/>
  <c r="E33" i="2" s="1"/>
  <c r="E10" i="2" s="1"/>
  <c r="E11" i="2" s="1"/>
  <c r="D33" i="2"/>
  <c r="D10" i="2" s="1"/>
  <c r="D11" i="2" s="1"/>
  <c r="F27" i="2"/>
  <c r="F26" i="2"/>
  <c r="F25" i="2"/>
  <c r="F31" i="2"/>
  <c r="F28" i="2"/>
  <c r="D29" i="4"/>
  <c r="B10" i="4" s="1"/>
  <c r="C30" i="4"/>
  <c r="H20" i="4" l="1"/>
  <c r="G28" i="4"/>
  <c r="G27" i="4"/>
  <c r="F32" i="2"/>
  <c r="F33" i="2" s="1"/>
  <c r="F10" i="2" s="1"/>
  <c r="H27" i="4" l="1"/>
  <c r="H28" i="4"/>
  <c r="G10" i="2"/>
  <c r="G11" i="2" s="1"/>
  <c r="F11" i="2"/>
  <c r="B3" i="4"/>
  <c r="L3" i="2" l="1"/>
  <c r="L5" i="2" s="1"/>
  <c r="L7" i="2" s="1"/>
  <c r="E29" i="4"/>
  <c r="C10" i="4" s="1"/>
  <c r="D30" i="4"/>
  <c r="E30" i="4"/>
  <c r="B5" i="4"/>
  <c r="L8" i="2" l="1"/>
  <c r="L10" i="2" s="1"/>
  <c r="F29" i="4"/>
  <c r="D10" i="4" s="1"/>
  <c r="D11" i="4" s="1"/>
  <c r="B11" i="4"/>
  <c r="C11" i="4"/>
  <c r="G30" i="4"/>
  <c r="F30" i="4"/>
  <c r="G29" i="4" l="1"/>
  <c r="E10" i="4" s="1"/>
  <c r="E11" i="4" s="1"/>
  <c r="H30" i="4" l="1"/>
  <c r="H29" i="4" l="1"/>
  <c r="F10" i="4" s="1"/>
  <c r="G10" i="4" l="1"/>
  <c r="G11" i="4" s="1"/>
  <c r="F11" i="4"/>
  <c r="L3" i="4" l="1"/>
  <c r="L5" i="4" s="1"/>
  <c r="L7" i="4" s="1"/>
  <c r="L8" i="4" l="1"/>
  <c r="L10" i="4" s="1"/>
</calcChain>
</file>

<file path=xl/sharedStrings.xml><?xml version="1.0" encoding="utf-8"?>
<sst xmlns="http://schemas.openxmlformats.org/spreadsheetml/2006/main" count="65" uniqueCount="44">
  <si>
    <t>DCF计算年数</t>
    <phoneticPr fontId="1" type="noConversion"/>
  </si>
  <si>
    <t>自由现金流</t>
    <phoneticPr fontId="1" type="noConversion"/>
  </si>
  <si>
    <t>折现值</t>
    <phoneticPr fontId="1" type="noConversion"/>
  </si>
  <si>
    <t>股权成本</t>
    <phoneticPr fontId="1" type="noConversion"/>
  </si>
  <si>
    <t>税后债务成本</t>
    <phoneticPr fontId="1" type="noConversion"/>
  </si>
  <si>
    <t>WACC（折现率）</t>
    <phoneticPr fontId="1" type="noConversion"/>
  </si>
  <si>
    <t>负债率</t>
    <phoneticPr fontId="1" type="noConversion"/>
  </si>
  <si>
    <t>店面数</t>
    <phoneticPr fontId="1" type="noConversion"/>
  </si>
  <si>
    <t>年数</t>
    <phoneticPr fontId="1" type="noConversion"/>
  </si>
  <si>
    <t>企业现金流价值/亿</t>
    <phoneticPr fontId="1" type="noConversion"/>
  </si>
  <si>
    <t>企业总股本/亿</t>
    <phoneticPr fontId="1" type="noConversion"/>
  </si>
  <si>
    <t>2030之后</t>
    <phoneticPr fontId="1" type="noConversion"/>
  </si>
  <si>
    <t>平均单店GMV/月/万</t>
    <phoneticPr fontId="1" type="noConversion"/>
  </si>
  <si>
    <t>企业资产价值/亿</t>
    <phoneticPr fontId="1" type="noConversion"/>
  </si>
  <si>
    <t>DCF/亿</t>
    <phoneticPr fontId="1" type="noConversion"/>
  </si>
  <si>
    <t>销售额/亿</t>
    <phoneticPr fontId="1" type="noConversion"/>
  </si>
  <si>
    <t>CAPEX/亿</t>
    <phoneticPr fontId="1" type="noConversion"/>
  </si>
  <si>
    <t>门店EBITDA/%</t>
    <phoneticPr fontId="1" type="noConversion"/>
  </si>
  <si>
    <t>总部EBITDA/%</t>
    <phoneticPr fontId="1" type="noConversion"/>
  </si>
  <si>
    <t>总部开支/%</t>
    <phoneticPr fontId="1" type="noConversion"/>
  </si>
  <si>
    <t>经营性自由现金流（OCF）/亿</t>
    <phoneticPr fontId="1" type="noConversion"/>
  </si>
  <si>
    <t>自由现金流（FCF）/亿</t>
    <phoneticPr fontId="1" type="noConversion"/>
  </si>
  <si>
    <t>永续增长率</t>
    <phoneticPr fontId="1" type="noConversion"/>
  </si>
  <si>
    <t>折价</t>
    <phoneticPr fontId="1" type="noConversion"/>
  </si>
  <si>
    <t>终期股价/RMB</t>
    <phoneticPr fontId="1" type="noConversion"/>
  </si>
  <si>
    <t>终期股价/HKD</t>
    <phoneticPr fontId="1" type="noConversion"/>
  </si>
  <si>
    <t>当前股价/HKD</t>
    <phoneticPr fontId="1" type="noConversion"/>
  </si>
  <si>
    <t>单店成本/万</t>
    <phoneticPr fontId="1" type="noConversion"/>
  </si>
  <si>
    <t>预计开店数</t>
    <phoneticPr fontId="1" type="noConversion"/>
  </si>
  <si>
    <t>年末店数</t>
    <phoneticPr fontId="1" type="noConversion"/>
  </si>
  <si>
    <t>当年净开店数</t>
    <phoneticPr fontId="1" type="noConversion"/>
  </si>
  <si>
    <t>直营店数</t>
    <phoneticPr fontId="1" type="noConversion"/>
  </si>
  <si>
    <t>加盟店数</t>
    <phoneticPr fontId="1" type="noConversion"/>
  </si>
  <si>
    <t>直营店比例</t>
    <phoneticPr fontId="1" type="noConversion"/>
  </si>
  <si>
    <t>直营店现金流/万/年</t>
    <phoneticPr fontId="1" type="noConversion"/>
  </si>
  <si>
    <t>加盟店现金流/万/年</t>
    <phoneticPr fontId="1" type="noConversion"/>
  </si>
  <si>
    <t>公司年经营现金流（OCF）/亿</t>
    <phoneticPr fontId="1" type="noConversion"/>
  </si>
  <si>
    <t>直营店-海外新开</t>
    <phoneticPr fontId="1" type="noConversion"/>
  </si>
  <si>
    <t>直营店-国内新开</t>
    <phoneticPr fontId="1" type="noConversion"/>
  </si>
  <si>
    <t>直营店-国内回购</t>
    <phoneticPr fontId="1" type="noConversion"/>
  </si>
  <si>
    <t>单店平均GMV/万/年</t>
    <phoneticPr fontId="1" type="noConversion"/>
  </si>
  <si>
    <t>市销率</t>
    <phoneticPr fontId="1" type="noConversion"/>
  </si>
  <si>
    <t>当前股价/USD</t>
    <phoneticPr fontId="1" type="noConversion"/>
  </si>
  <si>
    <t>终期股价/USD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</si>
</sst>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%"/>
    <numFmt numFmtId="177" formatCode="0.00_ "/>
  </numFmts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76" fontId="2" fillId="0" borderId="0" xfId="0" applyNumberFormat="1" applyFont="1">
      <alignment vertical="center"/>
    </xf>
    <xf numFmtId="0" fontId="2" fillId="3" borderId="1" xfId="0" applyFont="1" applyFill="1" applyBorder="1">
      <alignment vertical="center"/>
    </xf>
    <xf numFmtId="10" fontId="2" fillId="0" borderId="1" xfId="0" applyNumberFormat="1" applyFont="1" applyBorder="1">
      <alignment vertical="center"/>
    </xf>
    <xf numFmtId="10" fontId="2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77" fontId="2" fillId="0" borderId="1" xfId="0" applyNumberFormat="1" applyFont="1" applyBorder="1">
      <alignment vertical="center"/>
    </xf>
    <xf numFmtId="9" fontId="2" fillId="0" borderId="1" xfId="0" applyNumberFormat="1" applyFont="1" applyBorder="1">
      <alignment vertical="center"/>
    </xf>
    <xf numFmtId="0" fontId="2" fillId="4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zoomScale="85" zoomScaleNormal="85" workbookViewId="0">
      <selection activeCell="G34" sqref="G34"/>
    </sheetView>
  </sheetViews>
  <sheetFormatPr defaultRowHeight="16.5" x14ac:dyDescent="0.2"/>
  <cols>
    <col min="1" max="1" width="27.375" style="1" customWidth="1"/>
    <col min="2" max="2" width="17.125" style="1" customWidth="1"/>
    <col min="3" max="3" width="16.75" style="1" customWidth="1"/>
    <col min="4" max="4" width="18.125" style="1" customWidth="1"/>
    <col min="5" max="5" width="17.875" style="1" customWidth="1"/>
    <col min="6" max="6" width="20.375" style="1" customWidth="1"/>
    <col min="7" max="7" width="15.875" style="1" customWidth="1"/>
    <col min="8" max="8" width="12.625" style="1" customWidth="1"/>
    <col min="9" max="9" width="17.125" style="1" customWidth="1"/>
    <col min="10" max="10" width="9" style="1"/>
    <col min="11" max="11" width="17.125" style="1" customWidth="1"/>
    <col min="12" max="12" width="13.75" style="1" customWidth="1"/>
    <col min="13" max="16384" width="9" style="1"/>
  </cols>
  <sheetData>
    <row r="2" spans="1:12" x14ac:dyDescent="0.2">
      <c r="A2" s="1" t="s">
        <v>3</v>
      </c>
      <c r="B2" s="2">
        <f>2.5%+1.4*8%</f>
        <v>0.13699999999999998</v>
      </c>
    </row>
    <row r="3" spans="1:12" x14ac:dyDescent="0.2">
      <c r="A3" s="1" t="s">
        <v>4</v>
      </c>
      <c r="B3" s="2">
        <f>(2.5%+0.75%)*(1-25%)</f>
        <v>2.4375000000000001E-2</v>
      </c>
      <c r="K3" s="6" t="s">
        <v>9</v>
      </c>
      <c r="L3" s="3">
        <f>ROUND(SUM(B11:G11),2)</f>
        <v>183.44</v>
      </c>
    </row>
    <row r="4" spans="1:12" x14ac:dyDescent="0.2">
      <c r="A4" s="1" t="s">
        <v>6</v>
      </c>
      <c r="B4" s="2">
        <v>0</v>
      </c>
      <c r="K4" s="6" t="s">
        <v>13</v>
      </c>
      <c r="L4" s="3">
        <v>85</v>
      </c>
    </row>
    <row r="5" spans="1:12" x14ac:dyDescent="0.2">
      <c r="A5" s="1" t="s">
        <v>5</v>
      </c>
      <c r="B5" s="5">
        <f>ROUND((1-$B$4)*$B$2+$B$4*$B$3,3)</f>
        <v>0.13700000000000001</v>
      </c>
      <c r="K5" s="6" t="s">
        <v>14</v>
      </c>
      <c r="L5" s="3">
        <f>L3+L4</f>
        <v>268.44</v>
      </c>
    </row>
    <row r="6" spans="1:12" x14ac:dyDescent="0.2">
      <c r="A6" s="1" t="s">
        <v>22</v>
      </c>
      <c r="B6" s="8">
        <v>0.01</v>
      </c>
      <c r="K6" s="6" t="s">
        <v>10</v>
      </c>
      <c r="L6" s="3">
        <v>1.9</v>
      </c>
    </row>
    <row r="7" spans="1:12" x14ac:dyDescent="0.2">
      <c r="K7" s="1" t="s">
        <v>24</v>
      </c>
      <c r="L7" s="1">
        <f>L5/L6</f>
        <v>141.2842105263158</v>
      </c>
    </row>
    <row r="8" spans="1:12" x14ac:dyDescent="0.2">
      <c r="A8" s="1" t="s">
        <v>0</v>
      </c>
      <c r="B8" s="1">
        <v>3</v>
      </c>
      <c r="K8" s="1" t="s">
        <v>43</v>
      </c>
      <c r="L8" s="1">
        <f>L7/6.93</f>
        <v>20.387331966279337</v>
      </c>
    </row>
    <row r="9" spans="1:12" x14ac:dyDescent="0.2">
      <c r="A9" s="4"/>
      <c r="B9" s="4">
        <v>2026</v>
      </c>
      <c r="C9" s="4">
        <v>2027</v>
      </c>
      <c r="D9" s="4">
        <v>2028</v>
      </c>
      <c r="E9" s="4">
        <v>2029</v>
      </c>
      <c r="F9" s="4" t="s">
        <v>11</v>
      </c>
      <c r="G9" s="4" t="s">
        <v>11</v>
      </c>
      <c r="K9" s="1" t="s">
        <v>42</v>
      </c>
      <c r="L9" s="1">
        <v>10.9</v>
      </c>
    </row>
    <row r="10" spans="1:12" x14ac:dyDescent="0.2">
      <c r="A10" s="3" t="s">
        <v>1</v>
      </c>
      <c r="B10" s="3">
        <f>B33</f>
        <v>10.75</v>
      </c>
      <c r="C10" s="3">
        <f>C33</f>
        <v>17.16</v>
      </c>
      <c r="D10" s="3">
        <f>D33</f>
        <v>21.5</v>
      </c>
      <c r="E10" s="3">
        <f>E33</f>
        <v>25.25</v>
      </c>
      <c r="F10" s="3">
        <f>F33</f>
        <v>27.8</v>
      </c>
      <c r="G10" s="3">
        <f>F10*(1+$B$6)</f>
        <v>28.077999999999999</v>
      </c>
      <c r="K10" s="1" t="s">
        <v>23</v>
      </c>
      <c r="L10" s="9">
        <f>L9/L8</f>
        <v>0.53464573088958423</v>
      </c>
    </row>
    <row r="11" spans="1:12" x14ac:dyDescent="0.2">
      <c r="A11" s="3" t="s">
        <v>2</v>
      </c>
      <c r="B11" s="3">
        <f>B10/(1+$B$5)^B12</f>
        <v>9.4547053649956023</v>
      </c>
      <c r="C11" s="3">
        <f>C10/(1+$B$5)^C12</f>
        <v>13.273833144204417</v>
      </c>
      <c r="D11" s="3">
        <f t="shared" ref="D11:F11" si="0">D10/(1+$B$5)^D12</f>
        <v>14.627060774191834</v>
      </c>
      <c r="E11" s="3">
        <f t="shared" si="0"/>
        <v>15.108436503583228</v>
      </c>
      <c r="F11" s="3">
        <f t="shared" si="0"/>
        <v>14.629937556697362</v>
      </c>
      <c r="G11" s="3">
        <f>G10/($B$5-$B$6)/(1+$B$5)^G12</f>
        <v>116.34832230129398</v>
      </c>
    </row>
    <row r="12" spans="1:12" x14ac:dyDescent="0.2">
      <c r="A12" s="3" t="s">
        <v>8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5</v>
      </c>
    </row>
    <row r="13" spans="1:12" x14ac:dyDescent="0.2">
      <c r="A13" s="3"/>
      <c r="B13" s="3"/>
      <c r="C13" s="3"/>
      <c r="D13" s="3"/>
      <c r="E13" s="3"/>
      <c r="F13" s="3"/>
      <c r="G13" s="3"/>
    </row>
    <row r="14" spans="1:12" x14ac:dyDescent="0.2">
      <c r="A14" s="3"/>
      <c r="B14" s="3"/>
      <c r="C14" s="3"/>
      <c r="D14" s="3"/>
      <c r="E14" s="3"/>
      <c r="F14" s="3"/>
      <c r="G14" s="3"/>
    </row>
    <row r="19" spans="1:8" x14ac:dyDescent="0.2">
      <c r="A19" s="6"/>
      <c r="B19" s="6">
        <v>2026</v>
      </c>
      <c r="C19" s="6">
        <v>2027</v>
      </c>
      <c r="D19" s="6">
        <v>2028</v>
      </c>
      <c r="E19" s="6">
        <v>2029</v>
      </c>
      <c r="F19" s="6">
        <v>2030</v>
      </c>
    </row>
    <row r="20" spans="1:8" x14ac:dyDescent="0.2">
      <c r="A20" s="3" t="s">
        <v>29</v>
      </c>
      <c r="B20" s="3">
        <v>8500</v>
      </c>
      <c r="C20" s="3">
        <f>B20+B22</f>
        <v>9400</v>
      </c>
      <c r="D20" s="3">
        <f t="shared" ref="D20:F20" si="1">C20+C22</f>
        <v>10200</v>
      </c>
      <c r="E20" s="3">
        <f t="shared" si="1"/>
        <v>10900</v>
      </c>
      <c r="F20" s="3">
        <f t="shared" si="1"/>
        <v>11500</v>
      </c>
    </row>
    <row r="21" spans="1:8" x14ac:dyDescent="0.2">
      <c r="A21" s="3" t="s">
        <v>40</v>
      </c>
      <c r="B21" s="3">
        <v>450</v>
      </c>
      <c r="C21" s="3">
        <f>B21-5</f>
        <v>445</v>
      </c>
      <c r="D21" s="3">
        <f t="shared" ref="D21:F21" si="2">C21-5</f>
        <v>440</v>
      </c>
      <c r="E21" s="3">
        <f t="shared" si="2"/>
        <v>435</v>
      </c>
      <c r="F21" s="3">
        <f t="shared" si="2"/>
        <v>430</v>
      </c>
    </row>
    <row r="22" spans="1:8" x14ac:dyDescent="0.2">
      <c r="A22" s="3" t="s">
        <v>30</v>
      </c>
      <c r="B22" s="3">
        <v>900</v>
      </c>
      <c r="C22" s="3">
        <f>B22-100</f>
        <v>800</v>
      </c>
      <c r="D22" s="3">
        <f t="shared" ref="D22:F22" si="3">C22-100</f>
        <v>700</v>
      </c>
      <c r="E22" s="3">
        <f t="shared" si="3"/>
        <v>600</v>
      </c>
      <c r="F22" s="3">
        <f t="shared" si="3"/>
        <v>500</v>
      </c>
    </row>
    <row r="23" spans="1:8" x14ac:dyDescent="0.2">
      <c r="A23" s="3" t="s">
        <v>33</v>
      </c>
      <c r="B23" s="11">
        <v>0.08</v>
      </c>
      <c r="C23" s="7">
        <f>B23+2%</f>
        <v>0.1</v>
      </c>
      <c r="D23" s="7">
        <f t="shared" ref="D23:F23" si="4">C23+2%</f>
        <v>0.12000000000000001</v>
      </c>
      <c r="E23" s="7">
        <f t="shared" si="4"/>
        <v>0.14000000000000001</v>
      </c>
      <c r="F23" s="7">
        <f t="shared" si="4"/>
        <v>0.16</v>
      </c>
    </row>
    <row r="24" spans="1:8" x14ac:dyDescent="0.2">
      <c r="A24" s="3" t="s">
        <v>31</v>
      </c>
      <c r="B24" s="3">
        <f>INT(B20*B23)</f>
        <v>680</v>
      </c>
      <c r="C24" s="3">
        <f t="shared" ref="C24:F24" si="5">INT(C20*C23)</f>
        <v>940</v>
      </c>
      <c r="D24" s="3">
        <f t="shared" si="5"/>
        <v>1224</v>
      </c>
      <c r="E24" s="3">
        <f t="shared" si="5"/>
        <v>1526</v>
      </c>
      <c r="F24" s="3">
        <f t="shared" si="5"/>
        <v>1840</v>
      </c>
    </row>
    <row r="25" spans="1:8" x14ac:dyDescent="0.2">
      <c r="A25" s="3" t="s">
        <v>37</v>
      </c>
      <c r="B25" s="3">
        <f>INT((B$24-300)*$G25)</f>
        <v>152</v>
      </c>
      <c r="C25" s="3">
        <f>INT((C$24-B$24)*$G25)</f>
        <v>104</v>
      </c>
      <c r="D25" s="3">
        <f t="shared" ref="D25:F25" si="6">INT((D$24-C$24)*$G25)</f>
        <v>113</v>
      </c>
      <c r="E25" s="3">
        <f t="shared" si="6"/>
        <v>120</v>
      </c>
      <c r="F25" s="3">
        <f t="shared" si="6"/>
        <v>125</v>
      </c>
      <c r="G25" s="2">
        <v>0.4</v>
      </c>
      <c r="H25" s="1">
        <v>250</v>
      </c>
    </row>
    <row r="26" spans="1:8" x14ac:dyDescent="0.2">
      <c r="A26" s="3" t="s">
        <v>38</v>
      </c>
      <c r="B26" s="3">
        <f t="shared" ref="B26:B27" si="7">INT((B$24-300)*$G26)</f>
        <v>76</v>
      </c>
      <c r="C26" s="3">
        <f t="shared" ref="C26:F27" si="8">INT((C$24-B$24)*$G26)</f>
        <v>52</v>
      </c>
      <c r="D26" s="3">
        <f t="shared" si="8"/>
        <v>56</v>
      </c>
      <c r="E26" s="3">
        <f t="shared" si="8"/>
        <v>60</v>
      </c>
      <c r="F26" s="3">
        <f t="shared" si="8"/>
        <v>62</v>
      </c>
      <c r="G26" s="2">
        <v>0.2</v>
      </c>
      <c r="H26" s="1">
        <v>150</v>
      </c>
    </row>
    <row r="27" spans="1:8" x14ac:dyDescent="0.2">
      <c r="A27" s="3" t="s">
        <v>39</v>
      </c>
      <c r="B27" s="3">
        <f t="shared" si="7"/>
        <v>152</v>
      </c>
      <c r="C27" s="3">
        <f t="shared" si="8"/>
        <v>104</v>
      </c>
      <c r="D27" s="3">
        <f t="shared" si="8"/>
        <v>113</v>
      </c>
      <c r="E27" s="3">
        <f t="shared" si="8"/>
        <v>120</v>
      </c>
      <c r="F27" s="3">
        <f t="shared" si="8"/>
        <v>125</v>
      </c>
      <c r="G27" s="2">
        <v>0.4</v>
      </c>
      <c r="H27" s="1">
        <v>70</v>
      </c>
    </row>
    <row r="28" spans="1:8" x14ac:dyDescent="0.2">
      <c r="A28" s="3" t="s">
        <v>32</v>
      </c>
      <c r="B28" s="3">
        <f>B20-B24</f>
        <v>7820</v>
      </c>
      <c r="C28" s="3">
        <f t="shared" ref="C28:F28" si="9">C20-C24</f>
        <v>8460</v>
      </c>
      <c r="D28" s="3">
        <f t="shared" si="9"/>
        <v>8976</v>
      </c>
      <c r="E28" s="3">
        <f t="shared" si="9"/>
        <v>9374</v>
      </c>
      <c r="F28" s="3">
        <f t="shared" si="9"/>
        <v>9660</v>
      </c>
    </row>
    <row r="29" spans="1:8" x14ac:dyDescent="0.2">
      <c r="A29" s="12" t="s">
        <v>34</v>
      </c>
      <c r="B29" s="12">
        <v>-150</v>
      </c>
      <c r="C29" s="12">
        <v>-80</v>
      </c>
      <c r="D29" s="12">
        <v>-30</v>
      </c>
      <c r="E29" s="12">
        <v>0</v>
      </c>
      <c r="F29" s="12">
        <v>10</v>
      </c>
    </row>
    <row r="30" spans="1:8" x14ac:dyDescent="0.2">
      <c r="A30" s="12" t="s">
        <v>35</v>
      </c>
      <c r="B30" s="12">
        <v>36</v>
      </c>
      <c r="C30" s="12">
        <v>35</v>
      </c>
      <c r="D30" s="12">
        <v>34</v>
      </c>
      <c r="E30" s="12">
        <v>33</v>
      </c>
      <c r="F30" s="12">
        <v>33</v>
      </c>
    </row>
    <row r="31" spans="1:8" x14ac:dyDescent="0.2">
      <c r="A31" s="3" t="s">
        <v>36</v>
      </c>
      <c r="B31" s="3">
        <f>(B29*B24+B30*(B20-B24))/10000</f>
        <v>17.952000000000002</v>
      </c>
      <c r="C31" s="3">
        <f t="shared" ref="C31:F31" si="10">(C29*C24+C30*(C20-C24))/10000</f>
        <v>22.09</v>
      </c>
      <c r="D31" s="3">
        <f t="shared" si="10"/>
        <v>26.846399999999999</v>
      </c>
      <c r="E31" s="3">
        <f t="shared" si="10"/>
        <v>30.934200000000001</v>
      </c>
      <c r="F31" s="3">
        <f t="shared" si="10"/>
        <v>33.718000000000004</v>
      </c>
    </row>
    <row r="32" spans="1:8" x14ac:dyDescent="0.2">
      <c r="A32" s="12" t="s">
        <v>16</v>
      </c>
      <c r="B32" s="12">
        <f>SUMPRODUCT(B25:B27,$H$25:$H$27)/10000*1.2</f>
        <v>7.2047999999999988</v>
      </c>
      <c r="C32" s="12">
        <f t="shared" ref="C32:F32" si="11">SUMPRODUCT(C25:C27,$H$25:$H$27)/10000*1.2</f>
        <v>4.9295999999999998</v>
      </c>
      <c r="D32" s="12">
        <f t="shared" si="11"/>
        <v>5.3472</v>
      </c>
      <c r="E32" s="12">
        <f t="shared" si="11"/>
        <v>5.6879999999999997</v>
      </c>
      <c r="F32" s="12">
        <f t="shared" si="11"/>
        <v>5.9159999999999995</v>
      </c>
    </row>
    <row r="33" spans="1:6" x14ac:dyDescent="0.2">
      <c r="A33" s="3" t="s">
        <v>21</v>
      </c>
      <c r="B33" s="3">
        <f>ROUND(B31-B32,2)</f>
        <v>10.75</v>
      </c>
      <c r="C33" s="3">
        <f t="shared" ref="C33:F33" si="12">ROUND(C31-C32,2)</f>
        <v>17.16</v>
      </c>
      <c r="D33" s="3">
        <f t="shared" si="12"/>
        <v>21.5</v>
      </c>
      <c r="E33" s="3">
        <f t="shared" si="12"/>
        <v>25.25</v>
      </c>
      <c r="F33" s="3">
        <f t="shared" si="12"/>
        <v>27.8</v>
      </c>
    </row>
    <row r="34" spans="1:6" x14ac:dyDescent="0.2">
      <c r="A34" s="3" t="s">
        <v>15</v>
      </c>
      <c r="B34" s="3">
        <f>(B20-B22/2)*B21/10000</f>
        <v>362.25</v>
      </c>
      <c r="C34" s="3">
        <f t="shared" ref="C34:F34" si="13">(C20-C22/2)*C21/10000</f>
        <v>400.5</v>
      </c>
      <c r="D34" s="3">
        <f t="shared" si="13"/>
        <v>433.4</v>
      </c>
      <c r="E34" s="3">
        <f t="shared" si="13"/>
        <v>461.1</v>
      </c>
      <c r="F34" s="3">
        <f t="shared" si="13"/>
        <v>483.75</v>
      </c>
    </row>
    <row r="35" spans="1:6" x14ac:dyDescent="0.2">
      <c r="A35" s="3" t="s">
        <v>41</v>
      </c>
      <c r="B35" s="3">
        <f>ROUND(($L$9*$L$6*6.92)/B34,2)</f>
        <v>0.4</v>
      </c>
      <c r="C35" s="3">
        <f t="shared" ref="C35:F35" si="14">ROUND(($L$9*$L$6*6.92)/C34,2)</f>
        <v>0.36</v>
      </c>
      <c r="D35" s="3">
        <f t="shared" si="14"/>
        <v>0.33</v>
      </c>
      <c r="E35" s="3">
        <f t="shared" si="14"/>
        <v>0.31</v>
      </c>
      <c r="F35" s="3">
        <f t="shared" si="14"/>
        <v>0.3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zoomScale="85" zoomScaleNormal="85" workbookViewId="0">
      <selection activeCell="C31" sqref="C31"/>
    </sheetView>
  </sheetViews>
  <sheetFormatPr defaultRowHeight="16.5" x14ac:dyDescent="0.2"/>
  <cols>
    <col min="1" max="1" width="27.375" style="1" customWidth="1"/>
    <col min="2" max="2" width="17.125" style="1" customWidth="1"/>
    <col min="3" max="3" width="16.75" style="1" customWidth="1"/>
    <col min="4" max="4" width="18.125" style="1" customWidth="1"/>
    <col min="5" max="5" width="17.875" style="1" customWidth="1"/>
    <col min="6" max="6" width="20.375" style="1" customWidth="1"/>
    <col min="7" max="7" width="21.375" style="1" customWidth="1"/>
    <col min="8" max="8" width="21" style="1" customWidth="1"/>
    <col min="9" max="9" width="17.125" style="1" customWidth="1"/>
    <col min="10" max="10" width="9" style="1"/>
    <col min="11" max="11" width="17.125" style="1" customWidth="1"/>
    <col min="12" max="12" width="13.75" style="1" customWidth="1"/>
    <col min="13" max="16384" width="9" style="1"/>
  </cols>
  <sheetData>
    <row r="2" spans="1:12" x14ac:dyDescent="0.2">
      <c r="A2" s="1" t="s">
        <v>3</v>
      </c>
      <c r="B2" s="2">
        <f>2.5%+1.1*8%</f>
        <v>0.11300000000000002</v>
      </c>
    </row>
    <row r="3" spans="1:12" x14ac:dyDescent="0.2">
      <c r="A3" s="1" t="s">
        <v>4</v>
      </c>
      <c r="B3" s="2">
        <f>(2.5%+0.75%)*(1-25%)</f>
        <v>2.4375000000000001E-2</v>
      </c>
      <c r="K3" s="6" t="s">
        <v>9</v>
      </c>
      <c r="L3" s="3">
        <f>ROUND(SUM(B11:G11),2)</f>
        <v>85.58</v>
      </c>
    </row>
    <row r="4" spans="1:12" x14ac:dyDescent="0.2">
      <c r="A4" s="1" t="s">
        <v>6</v>
      </c>
      <c r="B4" s="2">
        <v>0.12</v>
      </c>
      <c r="K4" s="6" t="s">
        <v>13</v>
      </c>
      <c r="L4" s="3">
        <v>12.6</v>
      </c>
    </row>
    <row r="5" spans="1:12" x14ac:dyDescent="0.2">
      <c r="A5" s="1" t="s">
        <v>5</v>
      </c>
      <c r="B5" s="5">
        <f>ROUND((1-$B$4)*$B$2+$B$4*$B$3,3)</f>
        <v>0.10199999999999999</v>
      </c>
      <c r="K5" s="6" t="s">
        <v>14</v>
      </c>
      <c r="L5" s="3">
        <f>L3+L4</f>
        <v>98.179999999999993</v>
      </c>
    </row>
    <row r="6" spans="1:12" x14ac:dyDescent="0.2">
      <c r="A6" s="1" t="s">
        <v>22</v>
      </c>
      <c r="B6" s="8">
        <v>0.02</v>
      </c>
      <c r="K6" s="6" t="s">
        <v>10</v>
      </c>
      <c r="L6" s="3">
        <v>1.31</v>
      </c>
    </row>
    <row r="7" spans="1:12" x14ac:dyDescent="0.2">
      <c r="K7" s="1" t="s">
        <v>24</v>
      </c>
      <c r="L7" s="1">
        <f>L5/L6</f>
        <v>74.946564885496173</v>
      </c>
    </row>
    <row r="8" spans="1:12" x14ac:dyDescent="0.2">
      <c r="A8" s="1" t="s">
        <v>0</v>
      </c>
      <c r="B8" s="1">
        <v>3</v>
      </c>
      <c r="K8" s="1" t="s">
        <v>25</v>
      </c>
      <c r="L8" s="1">
        <f>L7/0.89</f>
        <v>84.209623466849635</v>
      </c>
    </row>
    <row r="9" spans="1:12" x14ac:dyDescent="0.2">
      <c r="A9" s="4"/>
      <c r="B9" s="4">
        <v>2026</v>
      </c>
      <c r="C9" s="4">
        <v>2027</v>
      </c>
      <c r="D9" s="4">
        <v>2028</v>
      </c>
      <c r="E9" s="4">
        <v>2029</v>
      </c>
      <c r="F9" s="4" t="s">
        <v>11</v>
      </c>
      <c r="G9" s="4" t="s">
        <v>11</v>
      </c>
      <c r="K9" s="1" t="s">
        <v>26</v>
      </c>
      <c r="L9" s="1">
        <v>62</v>
      </c>
    </row>
    <row r="10" spans="1:12" x14ac:dyDescent="0.2">
      <c r="A10" s="3" t="s">
        <v>1</v>
      </c>
      <c r="B10" s="3">
        <f>D29</f>
        <v>1.9135999999999997</v>
      </c>
      <c r="C10" s="3">
        <f>E29</f>
        <v>3.3224799999999997</v>
      </c>
      <c r="D10" s="3">
        <f>F29</f>
        <v>4.7183500000000009</v>
      </c>
      <c r="E10" s="3">
        <f>G29</f>
        <v>6.3465600000000002</v>
      </c>
      <c r="F10" s="3">
        <f>H29</f>
        <v>8.8622950000000014</v>
      </c>
      <c r="G10" s="3">
        <f>F10*(1+$B$6)</f>
        <v>9.0395409000000022</v>
      </c>
      <c r="K10" s="1" t="s">
        <v>23</v>
      </c>
      <c r="L10" s="9">
        <f>L9/L8</f>
        <v>0.73625789366469763</v>
      </c>
    </row>
    <row r="11" spans="1:12" x14ac:dyDescent="0.2">
      <c r="A11" s="3" t="s">
        <v>2</v>
      </c>
      <c r="B11" s="3">
        <f>B10/(1+$B$5)^B12</f>
        <v>1.7364791288566239</v>
      </c>
      <c r="C11" s="3">
        <f>C10/(1+$B$5)^C12</f>
        <v>2.7358934917869169</v>
      </c>
      <c r="D11" s="3">
        <f t="shared" ref="D11:F11" si="0">D10/(1+$B$5)^D12</f>
        <v>3.5257001124990013</v>
      </c>
      <c r="E11" s="3">
        <f t="shared" si="0"/>
        <v>4.3034029390987536</v>
      </c>
      <c r="F11" s="3">
        <f t="shared" si="0"/>
        <v>5.4530343039630731</v>
      </c>
      <c r="G11" s="3">
        <f>G10/($B$5-$B$6)/(1+$B$5)^G12</f>
        <v>67.830426707833368</v>
      </c>
    </row>
    <row r="12" spans="1:12" x14ac:dyDescent="0.2">
      <c r="A12" s="3" t="s">
        <v>8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5</v>
      </c>
    </row>
    <row r="13" spans="1:12" x14ac:dyDescent="0.2">
      <c r="A13" s="3"/>
      <c r="B13" s="3"/>
      <c r="C13" s="3"/>
      <c r="D13" s="3"/>
      <c r="E13" s="3"/>
      <c r="F13" s="3"/>
      <c r="G13" s="3"/>
    </row>
    <row r="14" spans="1:12" x14ac:dyDescent="0.2">
      <c r="A14" s="3"/>
      <c r="B14" s="3"/>
      <c r="C14" s="3"/>
      <c r="D14" s="3"/>
      <c r="E14" s="3"/>
      <c r="F14" s="3"/>
      <c r="G14" s="3"/>
    </row>
    <row r="19" spans="1:8" x14ac:dyDescent="0.2">
      <c r="A19" s="6"/>
      <c r="B19" s="6">
        <v>2024</v>
      </c>
      <c r="C19" s="6">
        <v>2025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</row>
    <row r="20" spans="1:8" x14ac:dyDescent="0.2">
      <c r="A20" s="3" t="s">
        <v>7</v>
      </c>
      <c r="B20" s="3">
        <v>1008</v>
      </c>
      <c r="C20" s="3">
        <v>1315</v>
      </c>
      <c r="D20" s="3">
        <f>C20+320</f>
        <v>1635</v>
      </c>
      <c r="E20" s="3">
        <f>D20+D21</f>
        <v>1955</v>
      </c>
      <c r="F20" s="3">
        <f t="shared" ref="F20:H20" si="1">E20+E21</f>
        <v>2280</v>
      </c>
      <c r="G20" s="3">
        <f t="shared" si="1"/>
        <v>2610</v>
      </c>
      <c r="H20" s="3">
        <f t="shared" si="1"/>
        <v>2945</v>
      </c>
    </row>
    <row r="21" spans="1:8" x14ac:dyDescent="0.2">
      <c r="A21" s="3" t="s">
        <v>28</v>
      </c>
      <c r="B21" s="3">
        <v>240</v>
      </c>
      <c r="C21" s="3">
        <v>307</v>
      </c>
      <c r="D21" s="3">
        <v>320</v>
      </c>
      <c r="E21" s="3">
        <f>D21+5</f>
        <v>325</v>
      </c>
      <c r="F21" s="3">
        <f t="shared" ref="F21:H21" si="2">E21+5</f>
        <v>330</v>
      </c>
      <c r="G21" s="3">
        <f t="shared" si="2"/>
        <v>335</v>
      </c>
      <c r="H21" s="3">
        <f t="shared" si="2"/>
        <v>340</v>
      </c>
    </row>
    <row r="22" spans="1:8" x14ac:dyDescent="0.2">
      <c r="A22" s="3" t="s">
        <v>12</v>
      </c>
      <c r="B22" s="3">
        <v>36</v>
      </c>
      <c r="C22" s="3">
        <f>1.24*30</f>
        <v>37.200000000000003</v>
      </c>
      <c r="D22" s="3">
        <f>ROUND(C22*1,2)</f>
        <v>37.200000000000003</v>
      </c>
      <c r="E22" s="3">
        <f t="shared" ref="E22:H22" si="3">ROUND(D22*1,2)</f>
        <v>37.200000000000003</v>
      </c>
      <c r="F22" s="3">
        <f t="shared" si="3"/>
        <v>37.200000000000003</v>
      </c>
      <c r="G22" s="3">
        <f t="shared" si="3"/>
        <v>37.200000000000003</v>
      </c>
      <c r="H22" s="3">
        <f t="shared" si="3"/>
        <v>37.200000000000003</v>
      </c>
    </row>
    <row r="23" spans="1:8" x14ac:dyDescent="0.2">
      <c r="A23" s="3" t="s">
        <v>17</v>
      </c>
      <c r="B23" s="7">
        <v>0.193</v>
      </c>
      <c r="C23" s="7">
        <v>0.186</v>
      </c>
      <c r="D23" s="7">
        <v>0.186</v>
      </c>
      <c r="E23" s="7">
        <v>0.186</v>
      </c>
      <c r="F23" s="7">
        <v>0.186</v>
      </c>
      <c r="G23" s="7">
        <v>0.186</v>
      </c>
      <c r="H23" s="7">
        <v>0.19500000000000001</v>
      </c>
    </row>
    <row r="24" spans="1:8" x14ac:dyDescent="0.2">
      <c r="A24" s="3" t="s">
        <v>18</v>
      </c>
      <c r="B24" s="7">
        <v>0.114</v>
      </c>
      <c r="C24" s="7">
        <v>0.11799999999999999</v>
      </c>
      <c r="D24" s="7">
        <f>D23-D25</f>
        <v>0.11899999999999999</v>
      </c>
      <c r="E24" s="7">
        <f t="shared" ref="E24:G24" si="4">E23-E25</f>
        <v>0.121</v>
      </c>
      <c r="F24" s="7">
        <f t="shared" si="4"/>
        <v>0.123</v>
      </c>
      <c r="G24" s="7">
        <f t="shared" si="4"/>
        <v>0.127</v>
      </c>
      <c r="H24" s="7">
        <f>H23-H25</f>
        <v>0.13900000000000001</v>
      </c>
    </row>
    <row r="25" spans="1:8" x14ac:dyDescent="0.2">
      <c r="A25" s="3" t="s">
        <v>19</v>
      </c>
      <c r="B25" s="7">
        <f>B23-B24</f>
        <v>7.9000000000000001E-2</v>
      </c>
      <c r="C25" s="7">
        <f>C23-C24</f>
        <v>6.8000000000000005E-2</v>
      </c>
      <c r="D25" s="7">
        <v>6.7000000000000004E-2</v>
      </c>
      <c r="E25" s="7">
        <v>6.5000000000000002E-2</v>
      </c>
      <c r="F25" s="7">
        <v>6.3E-2</v>
      </c>
      <c r="G25" s="7">
        <v>5.8999999999999997E-2</v>
      </c>
      <c r="H25" s="7">
        <v>5.6000000000000001E-2</v>
      </c>
    </row>
    <row r="26" spans="1:8" x14ac:dyDescent="0.2">
      <c r="A26" s="3" t="s">
        <v>27</v>
      </c>
      <c r="B26" s="3">
        <v>140</v>
      </c>
      <c r="C26" s="3">
        <v>130</v>
      </c>
      <c r="D26" s="10">
        <f>ROUND(C26*1.01,2)</f>
        <v>131.30000000000001</v>
      </c>
      <c r="E26" s="10">
        <f t="shared" ref="E26:H26" si="5">ROUND(D26*1.01,2)</f>
        <v>132.61000000000001</v>
      </c>
      <c r="F26" s="10">
        <f t="shared" si="5"/>
        <v>133.94</v>
      </c>
      <c r="G26" s="10">
        <f t="shared" si="5"/>
        <v>135.28</v>
      </c>
      <c r="H26" s="10">
        <f t="shared" si="5"/>
        <v>136.63</v>
      </c>
    </row>
    <row r="27" spans="1:8" x14ac:dyDescent="0.2">
      <c r="A27" s="3" t="s">
        <v>16</v>
      </c>
      <c r="B27" s="3">
        <v>3.73</v>
      </c>
      <c r="C27" s="3">
        <f>120/10000*(C20-B20)</f>
        <v>3.6840000000000002</v>
      </c>
      <c r="D27" s="3">
        <f>D26/10000*(D20-C20)</f>
        <v>4.2016</v>
      </c>
      <c r="E27" s="3">
        <f t="shared" ref="E27:H27" si="6">E26/10000*(E20-D20)</f>
        <v>4.2435200000000002</v>
      </c>
      <c r="F27" s="3">
        <f t="shared" si="6"/>
        <v>4.3530499999999996</v>
      </c>
      <c r="G27" s="3">
        <f t="shared" si="6"/>
        <v>4.4642400000000002</v>
      </c>
      <c r="H27" s="3">
        <f t="shared" si="6"/>
        <v>4.5771049999999995</v>
      </c>
    </row>
    <row r="28" spans="1:8" x14ac:dyDescent="0.2">
      <c r="A28" s="3" t="s">
        <v>20</v>
      </c>
      <c r="B28" s="3">
        <f>ROUND((B20-95)*B22/10000*12*B24,2)*0.78</f>
        <v>3.5100000000000002</v>
      </c>
      <c r="C28" s="3">
        <f>ROUND((C20+B20)/2*C22/10000*12*C24,2)*0.78</f>
        <v>4.7736000000000001</v>
      </c>
      <c r="D28" s="3">
        <f t="shared" ref="D28:H28" si="7">ROUND((D20+C20)/2*D22/10000*12*D24,2)*0.78</f>
        <v>6.1151999999999997</v>
      </c>
      <c r="E28" s="3">
        <f t="shared" si="7"/>
        <v>7.5659999999999998</v>
      </c>
      <c r="F28" s="3">
        <f t="shared" si="7"/>
        <v>9.0714000000000006</v>
      </c>
      <c r="G28" s="3">
        <f t="shared" si="7"/>
        <v>10.8108</v>
      </c>
      <c r="H28" s="3">
        <f t="shared" si="7"/>
        <v>13.439400000000001</v>
      </c>
    </row>
    <row r="29" spans="1:8" x14ac:dyDescent="0.2">
      <c r="A29" s="3" t="s">
        <v>21</v>
      </c>
      <c r="B29" s="3">
        <f>B28-B27</f>
        <v>-0.21999999999999975</v>
      </c>
      <c r="C29" s="3">
        <f t="shared" ref="C29:H29" si="8">C28-C27</f>
        <v>1.0895999999999999</v>
      </c>
      <c r="D29" s="3">
        <f t="shared" si="8"/>
        <v>1.9135999999999997</v>
      </c>
      <c r="E29" s="3">
        <f t="shared" si="8"/>
        <v>3.3224799999999997</v>
      </c>
      <c r="F29" s="3">
        <f t="shared" si="8"/>
        <v>4.7183500000000009</v>
      </c>
      <c r="G29" s="3">
        <f t="shared" si="8"/>
        <v>6.3465600000000002</v>
      </c>
      <c r="H29" s="3">
        <f t="shared" si="8"/>
        <v>8.8622950000000014</v>
      </c>
    </row>
    <row r="30" spans="1:8" x14ac:dyDescent="0.2">
      <c r="A30" s="3" t="s">
        <v>15</v>
      </c>
      <c r="B30" s="3">
        <f>B20*B22*12/10000</f>
        <v>43.5456</v>
      </c>
      <c r="C30" s="3">
        <f>AVERAGE(B20,C20)*C22*12/10000</f>
        <v>51.849360000000004</v>
      </c>
      <c r="D30" s="3">
        <f t="shared" ref="D30:F30" si="9">AVERAGE(C20,D20)*D22*12/10000</f>
        <v>65.844000000000008</v>
      </c>
      <c r="E30" s="3">
        <f t="shared" si="9"/>
        <v>80.128799999999998</v>
      </c>
      <c r="F30" s="3">
        <f t="shared" si="9"/>
        <v>94.525199999999998</v>
      </c>
      <c r="G30" s="3">
        <f>G20*G22*12/10000</f>
        <v>116.51040000000002</v>
      </c>
      <c r="H30" s="3">
        <f>H20*H22*12/10000</f>
        <v>131.46480000000003</v>
      </c>
    </row>
    <row r="35" spans="5:5" x14ac:dyDescent="0.2">
      <c r="E35" s="1">
        <f>892899-444236-28724</f>
        <v>419939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chagee</vt:lpstr>
      <vt:lpstr>dml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初小宇</cp:lastModifiedBy>
  <dcterms:created xsi:type="dcterms:W3CDTF">2025-07-02T12:45:35Z</dcterms:created>
  <dcterms:modified xsi:type="dcterms:W3CDTF">2026-03-25T11:52:21Z</dcterms:modified>
</cp:coreProperties>
</file>